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vs Actual - Yearly" sheetId="1" r:id="rId5"/>
    <sheet state="visible" name="Budget vs Actual - Monthly" sheetId="2" r:id="rId6"/>
    <sheet state="visible" name="Expenses Log" sheetId="3" r:id="rId7"/>
  </sheets>
  <definedNames>
    <definedName hidden="1" localSheetId="2" name="_xlnm._FilterDatabase">'Expenses Log'!$A$1:$M$82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5">
      <text>
        <t xml:space="preserve">main expenses tracked separately by Faiza Aunty</t>
      </text>
    </comment>
    <comment authorId="0" ref="L13">
      <text>
        <t xml:space="preserve">main expenses tracked separately by Faiza Aunty</t>
      </text>
    </comment>
  </commentList>
</comments>
</file>

<file path=xl/sharedStrings.xml><?xml version="1.0" encoding="utf-8"?>
<sst xmlns="http://schemas.openxmlformats.org/spreadsheetml/2006/main" count="496" uniqueCount="181">
  <si>
    <t>Budget Line Item</t>
  </si>
  <si>
    <t>Yearly Budget ($)</t>
  </si>
  <si>
    <t>Actual Spent ($)</t>
  </si>
  <si>
    <t>Remaining ($)</t>
  </si>
  <si>
    <t>% Used</t>
  </si>
  <si>
    <t>Notes</t>
  </si>
  <si>
    <t>Admin</t>
  </si>
  <si>
    <t>Tech</t>
  </si>
  <si>
    <t>Other Funds</t>
  </si>
  <si>
    <t>Workshops/Education</t>
  </si>
  <si>
    <t>Guest Speaker</t>
  </si>
  <si>
    <t>Toastmasters</t>
  </si>
  <si>
    <t>Monthly Masjid Event</t>
  </si>
  <si>
    <t>Youth Night</t>
  </si>
  <si>
    <t>Family Night</t>
  </si>
  <si>
    <t>Ramadan</t>
  </si>
  <si>
    <t>Youth Girls Itikaaf</t>
  </si>
  <si>
    <t>main expenses tracked separately by Faiza Aunty</t>
  </si>
  <si>
    <t>Youth Boys Itikaaf</t>
  </si>
  <si>
    <t>Jr. Youth Girls Itikaaf</t>
  </si>
  <si>
    <t>Jr. Youth Boys Itikaaf</t>
  </si>
  <si>
    <t>Quran Competition</t>
  </si>
  <si>
    <t>Youth Eid Festival</t>
  </si>
  <si>
    <t>Special Events</t>
  </si>
  <si>
    <t>Family BBQ</t>
  </si>
  <si>
    <t>Ibn Katheer Quran Competition</t>
  </si>
  <si>
    <t>TOTALS</t>
  </si>
  <si>
    <t>September</t>
  </si>
  <si>
    <t>October</t>
  </si>
  <si>
    <t>November</t>
  </si>
  <si>
    <t>December</t>
  </si>
  <si>
    <t>January</t>
  </si>
  <si>
    <t>April</t>
  </si>
  <si>
    <t>May</t>
  </si>
  <si>
    <t>Jun</t>
  </si>
  <si>
    <t>Jul</t>
  </si>
  <si>
    <t>Aug</t>
  </si>
  <si>
    <t>Year Totals</t>
  </si>
  <si>
    <t>Budget</t>
  </si>
  <si>
    <t>Actual</t>
  </si>
  <si>
    <t>Year Budget</t>
  </si>
  <si>
    <t>Year Actual</t>
  </si>
  <si>
    <t>Date</t>
  </si>
  <si>
    <t>Budget Group</t>
  </si>
  <si>
    <t>Expense Type</t>
  </si>
  <si>
    <t>Vendor</t>
  </si>
  <si>
    <t>Description</t>
  </si>
  <si>
    <t>Sub-Total</t>
  </si>
  <si>
    <t>Adjustments</t>
  </si>
  <si>
    <t>Total</t>
  </si>
  <si>
    <t>Paid By</t>
  </si>
  <si>
    <t>Status</t>
  </si>
  <si>
    <t>Receipt</t>
  </si>
  <si>
    <t>Budget Month</t>
  </si>
  <si>
    <t>Food &amp; Drink</t>
  </si>
  <si>
    <t>Costco</t>
  </si>
  <si>
    <t>Juice and Mandarins</t>
  </si>
  <si>
    <t>Umair</t>
  </si>
  <si>
    <t>Donation</t>
  </si>
  <si>
    <t>Supplies</t>
  </si>
  <si>
    <t>Boys Award</t>
  </si>
  <si>
    <t>14 Cheese Pizza</t>
  </si>
  <si>
    <t>Lodging</t>
  </si>
  <si>
    <t>Staybridge Suites Hillsboro North</t>
  </si>
  <si>
    <t>Sh. Asim Hotel</t>
  </si>
  <si>
    <t>Sh. Asim</t>
  </si>
  <si>
    <t>Paid</t>
  </si>
  <si>
    <t>2026-01-01_StaybridgeSuites_ShAsimHotel.pdf</t>
  </si>
  <si>
    <t>ICCH paid for one night of stay since they are using him as a guest speaker at their Friday night event.</t>
  </si>
  <si>
    <t>Transportation</t>
  </si>
  <si>
    <t>Alaska Airlines</t>
  </si>
  <si>
    <t>Sh. Asim Flights</t>
  </si>
  <si>
    <t>2026-01-07_AlaskaAirlines_ShAsimFlight.pdf</t>
  </si>
  <si>
    <t>Yasmeen Cafe</t>
  </si>
  <si>
    <t>Coffee Bar</t>
  </si>
  <si>
    <t>2026-01-13_YasmeenCafe_CoffeeBar.pdf</t>
  </si>
  <si>
    <t>Venue</t>
  </si>
  <si>
    <t>US Chef Store</t>
  </si>
  <si>
    <t>Event Supplies</t>
  </si>
  <si>
    <t>Fatmah</t>
  </si>
  <si>
    <t>2026-01-16_USChefStore_Supplies.jpeg</t>
  </si>
  <si>
    <t>Pizza</t>
  </si>
  <si>
    <t>2026-01-20_Costco_Pizza.png</t>
  </si>
  <si>
    <t>Sugary Kneads</t>
  </si>
  <si>
    <t>2 Dozen Pastries</t>
  </si>
  <si>
    <t>2026-01-17_SugaryKneads_2DozenPastries.pdf</t>
  </si>
  <si>
    <t>Coffee Bar (2)</t>
  </si>
  <si>
    <t>2026-01-17_YasmeenCafe_CoffeeBar.pdf</t>
  </si>
  <si>
    <t>Adhil Bhai</t>
  </si>
  <si>
    <t>Chicken Over Rice</t>
  </si>
  <si>
    <t>No receipt available</t>
  </si>
  <si>
    <t>Honorarium/Services</t>
  </si>
  <si>
    <t>Muslim Gift Box</t>
  </si>
  <si>
    <t>Sh. Asim Gift Box</t>
  </si>
  <si>
    <t>Hina Aunty</t>
  </si>
  <si>
    <t>2026-01-17_MuslimGiftBox_ShAsimGiftBox.jpeg</t>
  </si>
  <si>
    <t>Sh. Asim Check In</t>
  </si>
  <si>
    <t>2026-01-18_AlaskaAirlines_ShAsimCheckIn.pdf</t>
  </si>
  <si>
    <t>Sh. Asim Billoo</t>
  </si>
  <si>
    <t>Honorarium</t>
  </si>
  <si>
    <t>Bilal Masjid</t>
  </si>
  <si>
    <t>Direct</t>
  </si>
  <si>
    <t>Tally</t>
  </si>
  <si>
    <t>Annual Plan</t>
  </si>
  <si>
    <t>Amazon</t>
  </si>
  <si>
    <t>Boys Lanyards</t>
  </si>
  <si>
    <t>2026-02-22_Amazon_Lanyards.pdf</t>
  </si>
  <si>
    <t>Boys Badge Holders</t>
  </si>
  <si>
    <t>2026-02-22_Amazon_BadgeHolders.pdf</t>
  </si>
  <si>
    <t>Girls Lanyards, Badge Holders</t>
  </si>
  <si>
    <t>2026-02-22_Amazon_GirlsBadges.pdf</t>
  </si>
  <si>
    <t>Markers</t>
  </si>
  <si>
    <t>2026-02-24_Amazon_Markers.pdf</t>
  </si>
  <si>
    <t>Paper Roll</t>
  </si>
  <si>
    <t>2026-02-24_Amazon_PaperRoll.pdf</t>
  </si>
  <si>
    <t>Stencils</t>
  </si>
  <si>
    <t>2026-02-24_Amazon_Stencils.pdf</t>
  </si>
  <si>
    <t>MarkySparkyToys</t>
  </si>
  <si>
    <t>Activities for Mini Itikaaf</t>
  </si>
  <si>
    <t>2026-02-24_MarkySparky_BowKit.pdf</t>
  </si>
  <si>
    <t>Etsy</t>
  </si>
  <si>
    <t>Awards Boys Itikaaf</t>
  </si>
  <si>
    <t>2026-02-25_Etsy_YouthBookmarks</t>
  </si>
  <si>
    <t>Stickers</t>
  </si>
  <si>
    <t>2026-02-26_Amazon_Stickers.pdf</t>
  </si>
  <si>
    <t>FedEx</t>
  </si>
  <si>
    <t>Badges Print &amp; Cut</t>
  </si>
  <si>
    <t>2026-02-28_FedEx_BadgePrint&amp;Cut</t>
  </si>
  <si>
    <t>Target</t>
  </si>
  <si>
    <t>Prizes Mini Itikaaf</t>
  </si>
  <si>
    <t>Tajwar</t>
  </si>
  <si>
    <t>2026-02-28_Target_Prizes</t>
  </si>
  <si>
    <t>5x Pizza</t>
  </si>
  <si>
    <t>2026-03-01_Costco_Pizza.pdf</t>
  </si>
  <si>
    <t>Dave's Hot Chicken</t>
  </si>
  <si>
    <t>Sandwiches</t>
  </si>
  <si>
    <t>2026-03-07_DavesHotChicken_Burgers.pdf</t>
  </si>
  <si>
    <t>2026-03-07_FedEx_BadgesPrint&amp;Cut.PNG</t>
  </si>
  <si>
    <t>Quran Contest Lanyards</t>
  </si>
  <si>
    <t>2026-03-11_Amazon_Lanyards.pdf</t>
  </si>
  <si>
    <t>Dollar Tree</t>
  </si>
  <si>
    <t>Table Covers</t>
  </si>
  <si>
    <t>2026-03-12_DollarTree_TableCovers.pdf</t>
  </si>
  <si>
    <t>Quran Contest Badge Holders</t>
  </si>
  <si>
    <t>2026-03-13_Amazon_BadgeHolders.pdf</t>
  </si>
  <si>
    <t>Good Bags</t>
  </si>
  <si>
    <t>Certificates</t>
  </si>
  <si>
    <t>Bank</t>
  </si>
  <si>
    <t>Cash Prizes</t>
  </si>
  <si>
    <t>30 Days 30 Deeds Prizes (1)</t>
  </si>
  <si>
    <t>2026-03-23_Amazon_EidGifts.pdf</t>
  </si>
  <si>
    <t>30 Days 30 Deeds Prizes (2)</t>
  </si>
  <si>
    <t>2026-03-23_Amazon_EidGifts2.pdf</t>
  </si>
  <si>
    <t>Soccer Ball</t>
  </si>
  <si>
    <t>2026-03-23_Amazon_SoccerBall.pdf</t>
  </si>
  <si>
    <t>30 Days 30 Deeds Prizes (3)</t>
  </si>
  <si>
    <t>2026-03-24_Amazon_EidGifts3.pdf</t>
  </si>
  <si>
    <t>Drinks for Girls</t>
  </si>
  <si>
    <t>2026-03-25_YasmeenCafe_Drinks.pdf</t>
  </si>
  <si>
    <t>Dave's Bites + Sliders</t>
  </si>
  <si>
    <t>2026-03-27_DavesHotChicken_Burgers.pdf</t>
  </si>
  <si>
    <t>Sr. Khadija</t>
  </si>
  <si>
    <t>Eid Festival Decor</t>
  </si>
  <si>
    <t>2026-03-28_BloomBash_Decor.jpg</t>
  </si>
  <si>
    <t>Cedar Halal</t>
  </si>
  <si>
    <t>Girls Finger Foods and Snacks</t>
  </si>
  <si>
    <t>2026-03-28_CedarHalal_Pastries</t>
  </si>
  <si>
    <t>Fred Meyer</t>
  </si>
  <si>
    <t>Water Bottles</t>
  </si>
  <si>
    <t>2026-03-28_FredMeyer_Water</t>
  </si>
  <si>
    <t>Sh. Mohamed Najeeb</t>
  </si>
  <si>
    <t>Income</t>
  </si>
  <si>
    <t>-</t>
  </si>
  <si>
    <t>Class Fee</t>
  </si>
  <si>
    <t>N/A</t>
  </si>
  <si>
    <t>Sh. Wasil Jemal</t>
  </si>
  <si>
    <t>Sh. Wasil refused honorarium</t>
  </si>
  <si>
    <t>Sunday School gives $250, Bilal gives $250</t>
  </si>
  <si>
    <t>Coach Eric</t>
  </si>
  <si>
    <t>Coaching Services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</si>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</sst>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M/d/yyyy"/>
  </numFmts>
  <fonts count="21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theme="1"/>
      <name val="Roboto"/>
    </font>
    <font/>
    <font>
      <b/>
      <sz val="10.0"/>
      <color rgb="FF1F4E79"/>
      <name val="Roboto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b/>
      <color rgb="FF434343"/>
      <name val="Roboto"/>
    </font>
    <font>
      <color rgb="FF473821"/>
      <name val="Roboto"/>
    </font>
    <font>
      <color rgb="FF434343"/>
      <name val="Arial"/>
      <scheme val="minor"/>
    </font>
    <font>
      <u/>
      <color rgb="FF434343"/>
      <name val="Roboto"/>
    </font>
    <font>
      <u/>
      <color rgb="FF434343"/>
      <name val="Roboto"/>
    </font>
    <font>
      <color rgb="FF11734B"/>
      <name val="Roboto"/>
    </font>
    <font>
      <color rgb="FFB10202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  <fill>
      <patternFill patternType="solid">
        <fgColor rgb="FFF3FAFF"/>
        <bgColor rgb="FFF3FAFF"/>
      </patternFill>
    </fill>
    <fill>
      <patternFill patternType="solid">
        <fgColor rgb="FFE2EFDA"/>
        <bgColor rgb="FFE2EFDA"/>
      </patternFill>
    </fill>
    <fill>
      <patternFill patternType="solid">
        <fgColor rgb="FFDEEAF1"/>
        <bgColor rgb="FFDEEAF1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FFFFFF"/>
      </left>
      <right style="medium">
        <color rgb="FFFFFFFF"/>
      </right>
    </border>
    <border>
      <left style="medium">
        <color rgb="FFFFFFFF"/>
      </left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42F65"/>
      </lef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164" xfId="0" applyAlignment="1" applyFont="1" applyNumberFormat="1">
      <alignment readingOrder="0" vertical="center"/>
    </xf>
    <xf borderId="0" fillId="2" fontId="1" numFmtId="9" xfId="0" applyAlignment="1" applyFont="1" applyNumberFormat="1">
      <alignment horizontal="center" readingOrder="0" vertical="center"/>
    </xf>
    <xf borderId="1" fillId="3" fontId="1" numFmtId="164" xfId="0" applyAlignment="1" applyBorder="1" applyFill="1" applyFont="1" applyNumberFormat="1">
      <alignment readingOrder="0" vertical="center"/>
    </xf>
    <xf borderId="0" fillId="3" fontId="1" numFmtId="164" xfId="0" applyAlignment="1" applyFont="1" applyNumberFormat="1">
      <alignment vertical="center"/>
    </xf>
    <xf borderId="0" fillId="3" fontId="1" numFmtId="9" xfId="0" applyAlignment="1" applyFont="1" applyNumberFormat="1">
      <alignment horizontal="center" vertical="center"/>
    </xf>
    <xf borderId="0" fillId="3" fontId="1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9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1" fillId="3" fontId="1" numFmtId="0" xfId="0" applyAlignment="1" applyBorder="1" applyFont="1">
      <alignment readingOrder="0" vertical="center"/>
    </xf>
    <xf borderId="0" fillId="3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2" fontId="1" numFmtId="0" xfId="0" applyAlignment="1" applyFont="1">
      <alignment readingOrder="0" vertical="center"/>
    </xf>
    <xf borderId="0" fillId="2" fontId="1" numFmtId="164" xfId="0" applyAlignment="1" applyFont="1" applyNumberFormat="1">
      <alignment vertical="center"/>
    </xf>
    <xf borderId="0" fillId="2" fontId="1" numFmtId="9" xfId="0" applyAlignment="1" applyFont="1" applyNumberFormat="1">
      <alignment horizontal="center" vertical="center"/>
    </xf>
    <xf borderId="0" fillId="2" fontId="1" numFmtId="0" xfId="0" applyAlignment="1" applyFont="1">
      <alignment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1" fillId="2" fontId="1" numFmtId="0" xfId="0" applyAlignment="1" applyBorder="1" applyFont="1">
      <alignment readingOrder="0" vertical="center"/>
    </xf>
    <xf borderId="2" fillId="5" fontId="4" numFmtId="164" xfId="0" applyAlignment="1" applyBorder="1" applyFill="1" applyFont="1" applyNumberFormat="1">
      <alignment horizontal="center" readingOrder="0" vertical="center"/>
    </xf>
    <xf borderId="3" fillId="6" fontId="4" numFmtId="164" xfId="0" applyAlignment="1" applyBorder="1" applyFill="1" applyFont="1" applyNumberFormat="1">
      <alignment horizontal="center" readingOrder="0" vertical="center"/>
    </xf>
    <xf borderId="2" fillId="7" fontId="4" numFmtId="164" xfId="0" applyAlignment="1" applyBorder="1" applyFill="1" applyFont="1" applyNumberFormat="1">
      <alignment horizontal="center" readingOrder="0" vertical="center"/>
    </xf>
    <xf borderId="2" fillId="4" fontId="1" numFmtId="164" xfId="0" applyAlignment="1" applyBorder="1" applyFont="1" applyNumberFormat="1">
      <alignment horizontal="center" readingOrder="0" vertical="center"/>
    </xf>
    <xf borderId="3" fillId="4" fontId="1" numFmtId="164" xfId="0" applyAlignment="1" applyBorder="1" applyFont="1" applyNumberFormat="1">
      <alignment horizontal="center" readingOrder="0" vertical="center"/>
    </xf>
    <xf borderId="2" fillId="3" fontId="1" numFmtId="164" xfId="0" applyAlignment="1" applyBorder="1" applyFont="1" applyNumberFormat="1">
      <alignment vertical="center"/>
    </xf>
    <xf borderId="3" fillId="3" fontId="1" numFmtId="164" xfId="0" applyAlignment="1" applyBorder="1" applyFont="1" applyNumberFormat="1">
      <alignment vertical="center"/>
    </xf>
    <xf borderId="2" fillId="5" fontId="2" numFmtId="164" xfId="0" applyAlignment="1" applyBorder="1" applyFont="1" applyNumberFormat="1">
      <alignment readingOrder="0" vertical="center"/>
    </xf>
    <xf borderId="3" fillId="6" fontId="2" numFmtId="164" xfId="0" applyAlignment="1" applyBorder="1" applyFont="1" applyNumberFormat="1">
      <alignment readingOrder="0" vertical="center"/>
    </xf>
    <xf borderId="2" fillId="0" fontId="2" numFmtId="164" xfId="0" applyAlignment="1" applyBorder="1" applyFont="1" applyNumberFormat="1">
      <alignment readingOrder="0" vertical="center"/>
    </xf>
    <xf borderId="3" fillId="0" fontId="2" numFmtId="164" xfId="0" applyAlignment="1" applyBorder="1" applyFont="1" applyNumberFormat="1">
      <alignment readingOrder="0" vertical="center"/>
    </xf>
    <xf borderId="2" fillId="5" fontId="2" numFmtId="164" xfId="0" applyAlignment="1" applyBorder="1" applyFont="1" applyNumberFormat="1">
      <alignment vertical="center"/>
    </xf>
    <xf borderId="4" fillId="2" fontId="1" numFmtId="0" xfId="0" applyAlignment="1" applyBorder="1" applyFont="1">
      <alignment readingOrder="0" vertical="center"/>
    </xf>
    <xf borderId="5" fillId="2" fontId="1" numFmtId="164" xfId="0" applyAlignment="1" applyBorder="1" applyFont="1" applyNumberFormat="1">
      <alignment vertical="center"/>
    </xf>
    <xf borderId="6" fillId="2" fontId="1" numFmtId="164" xfId="0" applyAlignment="1" applyBorder="1" applyFont="1" applyNumberFormat="1">
      <alignment vertical="center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7" fillId="8" fontId="7" numFmtId="49" xfId="0" applyAlignment="1" applyBorder="1" applyFill="1" applyFont="1" applyNumberFormat="1">
      <alignment horizontal="left" shrinkToFit="0" vertical="center" wrapText="0"/>
    </xf>
    <xf borderId="7" fillId="8" fontId="7" numFmtId="164" xfId="0" applyAlignment="1" applyBorder="1" applyFont="1" applyNumberFormat="1">
      <alignment horizontal="right" shrinkToFit="0" vertical="center" wrapText="0"/>
    </xf>
    <xf borderId="7" fillId="8" fontId="8" numFmtId="164" xfId="0" applyAlignment="1" applyBorder="1" applyFont="1" applyNumberFormat="1">
      <alignment horizontal="right" shrinkToFit="0" vertical="center" wrapText="0"/>
    </xf>
    <xf borderId="7" fillId="8" fontId="7" numFmtId="49" xfId="0" applyAlignment="1" applyBorder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9" fontId="9" numFmtId="0" xfId="0" applyAlignment="1" applyFill="1" applyFont="1">
      <alignment readingOrder="0" shrinkToFit="0" vertical="center" wrapText="0"/>
    </xf>
    <xf borderId="8" fillId="9" fontId="7" numFmtId="49" xfId="0" applyAlignment="1" applyBorder="1" applyFont="1" applyNumberFormat="1">
      <alignment horizontal="left" shrinkToFit="0" vertical="center" wrapText="0"/>
    </xf>
    <xf borderId="8" fillId="9" fontId="7" numFmtId="164" xfId="0" applyAlignment="1" applyBorder="1" applyFont="1" applyNumberFormat="1">
      <alignment horizontal="right" shrinkToFit="0" vertical="center" wrapText="0"/>
    </xf>
    <xf borderId="8" fillId="9" fontId="8" numFmtId="164" xfId="0" applyAlignment="1" applyBorder="1" applyFont="1" applyNumberFormat="1">
      <alignment horizontal="right" shrinkToFit="0" vertical="center" wrapText="0"/>
    </xf>
    <xf borderId="8" fillId="9" fontId="7" numFmtId="49" xfId="0" applyAlignment="1" applyBorder="1" applyFont="1" applyNumberFormat="1">
      <alignment shrinkToFit="0" vertical="center" wrapText="0"/>
    </xf>
    <xf borderId="0" fillId="9" fontId="7" numFmtId="0" xfId="0" applyAlignment="1" applyFont="1">
      <alignment horizontal="left" readingOrder="0" shrinkToFit="0" vertical="center" wrapText="0"/>
    </xf>
    <xf borderId="0" fillId="9" fontId="7" numFmtId="49" xfId="0" applyAlignment="1" applyFont="1" applyNumberFormat="1">
      <alignment shrinkToFit="0" vertical="center" wrapText="0"/>
    </xf>
    <xf borderId="7" fillId="9" fontId="7" numFmtId="49" xfId="0" applyAlignment="1" applyBorder="1" applyFont="1" applyNumberFormat="1">
      <alignment horizontal="left" shrinkToFit="0" vertical="center" wrapText="0"/>
    </xf>
    <xf borderId="7" fillId="9" fontId="7" numFmtId="164" xfId="0" applyAlignment="1" applyBorder="1" applyFont="1" applyNumberFormat="1">
      <alignment horizontal="right" shrinkToFit="0" vertical="center" wrapText="0"/>
    </xf>
    <xf borderId="7" fillId="9" fontId="8" numFmtId="164" xfId="0" applyAlignment="1" applyBorder="1" applyFont="1" applyNumberFormat="1">
      <alignment horizontal="right" shrinkToFit="0" vertical="center" wrapText="0"/>
    </xf>
    <xf borderId="7" fillId="9" fontId="7" numFmtId="49" xfId="0" applyAlignment="1" applyBorder="1" applyFont="1" applyNumberFormat="1">
      <alignment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9" fillId="9" fontId="7" numFmtId="165" xfId="0" applyAlignment="1" applyBorder="1" applyFont="1" applyNumberFormat="1">
      <alignment horizontal="right" shrinkToFit="0" vertical="center" wrapText="0"/>
    </xf>
    <xf borderId="7" fillId="9" fontId="9" numFmtId="0" xfId="0" applyAlignment="1" applyBorder="1" applyFont="1">
      <alignment readingOrder="0" shrinkToFit="0" vertical="center" wrapText="0"/>
    </xf>
    <xf borderId="7" fillId="9" fontId="11" numFmtId="49" xfId="0" applyAlignment="1" applyBorder="1" applyFont="1" applyNumberFormat="1">
      <alignment shrinkToFit="0" vertical="center" wrapText="0"/>
    </xf>
    <xf borderId="0" fillId="9" fontId="7" numFmtId="0" xfId="0" applyAlignment="1" applyFont="1">
      <alignment horizontal="left" readingOrder="0" shrinkToFit="0" vertical="center" wrapText="0"/>
    </xf>
    <xf borderId="10" fillId="8" fontId="7" numFmtId="165" xfId="0" applyAlignment="1" applyBorder="1" applyFont="1" applyNumberFormat="1">
      <alignment horizontal="right" shrinkToFit="0" vertical="center" wrapText="0"/>
    </xf>
    <xf borderId="8" fillId="8" fontId="9" numFmtId="0" xfId="0" applyAlignment="1" applyBorder="1" applyFont="1">
      <alignment readingOrder="0" shrinkToFit="0" vertical="center" wrapText="0"/>
    </xf>
    <xf borderId="8" fillId="8" fontId="7" numFmtId="49" xfId="0" applyAlignment="1" applyBorder="1" applyFont="1" applyNumberFormat="1">
      <alignment horizontal="left" shrinkToFit="0" vertical="center" wrapText="0"/>
    </xf>
    <xf borderId="8" fillId="8" fontId="7" numFmtId="164" xfId="0" applyAlignment="1" applyBorder="1" applyFont="1" applyNumberFormat="1">
      <alignment horizontal="right" shrinkToFit="0" vertical="center" wrapText="0"/>
    </xf>
    <xf borderId="8" fillId="8" fontId="8" numFmtId="164" xfId="0" applyAlignment="1" applyBorder="1" applyFont="1" applyNumberFormat="1">
      <alignment horizontal="right" shrinkToFit="0" vertical="center" wrapText="0"/>
    </xf>
    <xf borderId="8" fillId="8" fontId="7" numFmtId="49" xfId="0" applyAlignment="1" applyBorder="1" applyFont="1" applyNumberFormat="1">
      <alignment shrinkToFit="0" vertical="center" wrapText="0"/>
    </xf>
    <xf borderId="8" fillId="8" fontId="12" numFmtId="49" xfId="0" applyAlignment="1" applyBorder="1" applyFont="1" applyNumberFormat="1">
      <alignment shrinkToFit="0" vertical="center" wrapText="0"/>
    </xf>
    <xf borderId="7" fillId="9" fontId="13" numFmtId="0" xfId="0" applyAlignment="1" applyBorder="1" applyFont="1">
      <alignment shrinkToFit="0" vertical="center" wrapText="0"/>
    </xf>
    <xf borderId="8" fillId="8" fontId="14" numFmtId="0" xfId="0" applyAlignment="1" applyBorder="1" applyFont="1">
      <alignment readingOrder="0" shrinkToFit="0" vertical="center" wrapText="0"/>
    </xf>
    <xf borderId="8" fillId="8" fontId="7" numFmtId="49" xfId="0" applyAlignment="1" applyBorder="1" applyFont="1" applyNumberFormat="1">
      <alignment readingOrder="0" shrinkToFit="0" vertical="center" wrapText="0"/>
    </xf>
    <xf borderId="8" fillId="8" fontId="13" numFmtId="0" xfId="0" applyAlignment="1" applyBorder="1" applyFont="1">
      <alignment shrinkToFit="0" vertical="center" wrapText="0"/>
    </xf>
    <xf borderId="8" fillId="8" fontId="15" numFmtId="49" xfId="0" applyAlignment="1" applyBorder="1" applyFont="1" applyNumberFormat="1">
      <alignment shrinkToFit="0" vertical="center" wrapText="0"/>
    </xf>
    <xf borderId="7" fillId="9" fontId="7" numFmtId="49" xfId="0" applyAlignment="1" applyBorder="1" applyFont="1" applyNumberFormat="1">
      <alignment readingOrder="0" shrinkToFit="0" vertical="center" wrapText="0"/>
    </xf>
    <xf borderId="7" fillId="9" fontId="7" numFmtId="49" xfId="0" applyAlignment="1" applyBorder="1" applyFont="1" applyNumberFormat="1">
      <alignment horizontal="left" readingOrder="0" shrinkToFit="0" vertical="center" wrapText="0"/>
    </xf>
    <xf borderId="7" fillId="9" fontId="15" numFmtId="49" xfId="0" applyAlignment="1" applyBorder="1" applyFont="1" applyNumberFormat="1">
      <alignment shrinkToFit="0" vertical="center" wrapText="0"/>
    </xf>
    <xf borderId="9" fillId="9" fontId="7" numFmtId="165" xfId="0" applyAlignment="1" applyBorder="1" applyFont="1" applyNumberFormat="1">
      <alignment horizontal="right" readingOrder="0" shrinkToFit="0" vertical="center" wrapText="0"/>
    </xf>
    <xf borderId="7" fillId="9" fontId="7" numFmtId="164" xfId="0" applyAlignment="1" applyBorder="1" applyFont="1" applyNumberFormat="1">
      <alignment horizontal="right" readingOrder="0" shrinkToFit="0" vertical="center" wrapText="0"/>
    </xf>
    <xf borderId="7" fillId="9" fontId="9" numFmtId="0" xfId="0" applyAlignment="1" applyBorder="1" applyFont="1">
      <alignment shrinkToFit="0" vertical="center" wrapText="0"/>
    </xf>
    <xf borderId="8" fillId="8" fontId="9" numFmtId="0" xfId="0" applyAlignment="1" applyBorder="1" applyFont="1">
      <alignment shrinkToFit="0" vertical="center" wrapText="0"/>
    </xf>
    <xf borderId="0" fillId="8" fontId="7" numFmtId="164" xfId="0" applyAlignment="1" applyFont="1" applyNumberFormat="1">
      <alignment horizontal="right" readingOrder="0" shrinkToFit="0" vertical="center" wrapText="0"/>
    </xf>
    <xf borderId="0" fillId="8" fontId="8" numFmtId="164" xfId="0" applyAlignment="1" applyFont="1" applyNumberFormat="1">
      <alignment horizontal="right" shrinkToFit="0" vertical="center" wrapText="0"/>
    </xf>
    <xf borderId="8" fillId="8" fontId="13" numFmtId="0" xfId="0" applyAlignment="1" applyBorder="1" applyFont="1">
      <alignment shrinkToFit="0" vertical="center" wrapText="0"/>
    </xf>
    <xf borderId="7" fillId="9" fontId="13" numFmtId="0" xfId="0" applyAlignment="1" applyBorder="1" applyFont="1">
      <alignment shrinkToFit="0" vertical="center" wrapText="0"/>
    </xf>
    <xf borderId="11" fillId="8" fontId="7" numFmtId="165" xfId="0" applyAlignment="1" applyBorder="1" applyFont="1" applyNumberFormat="1">
      <alignment horizontal="right" readingOrder="0" shrinkToFit="0" vertical="center" wrapText="0"/>
    </xf>
    <xf borderId="10" fillId="0" fontId="5" numFmtId="165" xfId="0" applyAlignment="1" applyBorder="1" applyFont="1" applyNumberFormat="1">
      <alignment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8" fillId="0" fontId="5" numFmtId="49" xfId="0" applyAlignment="1" applyBorder="1" applyFont="1" applyNumberFormat="1">
      <alignment readingOrder="0" shrinkToFit="0" vertical="center" wrapText="0"/>
    </xf>
    <xf borderId="8" fillId="0" fontId="5" numFmtId="49" xfId="0" applyAlignment="1" applyBorder="1" applyFont="1" applyNumberFormat="1">
      <alignment horizontal="left" readingOrder="0" shrinkToFit="0" vertical="center" wrapText="0"/>
    </xf>
    <xf borderId="8" fillId="0" fontId="5" numFmtId="164" xfId="0" applyAlignment="1" applyBorder="1" applyFont="1" applyNumberFormat="1">
      <alignment readingOrder="0" shrinkToFit="0" vertical="center" wrapText="0"/>
    </xf>
    <xf borderId="8" fillId="0" fontId="5" numFmtId="49" xfId="0" applyAlignment="1" applyBorder="1" applyFont="1" applyNumberFormat="1">
      <alignment readingOrder="0" shrinkToFit="0" vertical="center" wrapText="0"/>
    </xf>
    <xf borderId="8" fillId="0" fontId="5" numFmtId="0" xfId="0" applyAlignment="1" applyBorder="1" applyFont="1">
      <alignment horizontal="left" readingOrder="0" shrinkToFit="0" vertical="center" wrapText="0"/>
    </xf>
    <xf borderId="9" fillId="0" fontId="5" numFmtId="165" xfId="0" applyAlignment="1" applyBorder="1" applyFont="1" applyNumberFormat="1">
      <alignment readingOrder="0" shrinkToFit="0" vertical="center" wrapText="0"/>
    </xf>
    <xf borderId="7" fillId="0" fontId="5" numFmtId="0" xfId="0" applyAlignment="1" applyBorder="1" applyFont="1">
      <alignment readingOrder="0" shrinkToFit="0" vertical="center" wrapText="0"/>
    </xf>
    <xf borderId="7" fillId="0" fontId="5" numFmtId="49" xfId="0" applyAlignment="1" applyBorder="1" applyFont="1" applyNumberFormat="1">
      <alignment horizontal="left" readingOrder="0" shrinkToFit="0" vertical="center" wrapText="0"/>
    </xf>
    <xf borderId="7" fillId="0" fontId="5" numFmtId="164" xfId="0" applyAlignment="1" applyBorder="1" applyFont="1" applyNumberFormat="1">
      <alignment readingOrder="0" shrinkToFit="0" vertical="center" wrapText="0"/>
    </xf>
    <xf borderId="7" fillId="0" fontId="5" numFmtId="49" xfId="0" applyAlignment="1" applyBorder="1" applyFont="1" applyNumberFormat="1">
      <alignment readingOrder="0" shrinkToFit="0" vertical="center" wrapText="0"/>
    </xf>
    <xf borderId="7" fillId="0" fontId="5" numFmtId="0" xfId="0" applyAlignment="1" applyBorder="1" applyFont="1">
      <alignment horizontal="left" readingOrder="0" shrinkToFit="0" vertical="center" wrapText="0"/>
    </xf>
    <xf borderId="9" fillId="8" fontId="7" numFmtId="165" xfId="0" applyAlignment="1" applyBorder="1" applyFont="1" applyNumberFormat="1">
      <alignment horizontal="right" shrinkToFit="0" vertical="center" wrapText="0"/>
    </xf>
    <xf borderId="7" fillId="8" fontId="9" numFmtId="0" xfId="0" applyAlignment="1" applyBorder="1" applyFont="1">
      <alignment shrinkToFit="0" vertical="center" wrapText="0"/>
    </xf>
    <xf borderId="7" fillId="8" fontId="16" numFmtId="49" xfId="0" applyAlignment="1" applyBorder="1" applyFont="1" applyNumberFormat="1">
      <alignment shrinkToFit="0" vertical="center" wrapText="0"/>
    </xf>
    <xf borderId="10" fillId="9" fontId="7" numFmtId="165" xfId="0" applyAlignment="1" applyBorder="1" applyFont="1" applyNumberFormat="1">
      <alignment horizontal="right" shrinkToFit="0" vertical="center" wrapText="0"/>
    </xf>
    <xf borderId="8" fillId="9" fontId="9" numFmtId="0" xfId="0" applyAlignment="1" applyBorder="1" applyFont="1">
      <alignment shrinkToFit="0" vertical="center" wrapText="0"/>
    </xf>
    <xf borderId="8" fillId="9" fontId="17" numFmtId="49" xfId="0" applyAlignment="1" applyBorder="1" applyFont="1" applyNumberFormat="1">
      <alignment shrinkToFit="0" vertical="center" wrapText="0"/>
    </xf>
    <xf borderId="7" fillId="8" fontId="13" numFmtId="0" xfId="0" applyAlignment="1" applyBorder="1" applyFont="1">
      <alignment shrinkToFit="0" vertical="center" wrapText="0"/>
    </xf>
    <xf borderId="0" fillId="9" fontId="7" numFmtId="165" xfId="0" applyAlignment="1" applyFont="1" applyNumberFormat="1">
      <alignment horizontal="right" shrinkToFit="0" vertical="center" wrapText="0"/>
    </xf>
    <xf borderId="0" fillId="9" fontId="13" numFmtId="0" xfId="0" applyAlignment="1" applyFont="1">
      <alignment shrinkToFit="0" vertical="center" wrapText="0"/>
    </xf>
    <xf borderId="0" fillId="9" fontId="7" numFmtId="164" xfId="0" applyAlignment="1" applyFont="1" applyNumberFormat="1">
      <alignment horizontal="right" shrinkToFit="0" vertical="center" wrapText="0"/>
    </xf>
    <xf borderId="0" fillId="9" fontId="18" numFmtId="49" xfId="0" applyAlignment="1" applyFont="1" applyNumberFormat="1">
      <alignment shrinkToFit="0" vertical="center" wrapText="0"/>
    </xf>
    <xf borderId="0" fillId="8" fontId="7" numFmtId="165" xfId="0" applyAlignment="1" applyFont="1" applyNumberFormat="1">
      <alignment horizontal="right" shrinkToFit="0" vertical="center" wrapText="0"/>
    </xf>
    <xf borderId="0" fillId="8" fontId="14" numFmtId="0" xfId="0" applyAlignment="1" applyFont="1">
      <alignment shrinkToFit="0" vertical="center" wrapText="0"/>
    </xf>
    <xf borderId="0" fillId="8" fontId="7" numFmtId="49" xfId="0" applyAlignment="1" applyFont="1" applyNumberFormat="1">
      <alignment shrinkToFit="0" vertical="center" wrapText="0"/>
    </xf>
    <xf borderId="0" fillId="8" fontId="7" numFmtId="164" xfId="0" applyAlignment="1" applyFont="1" applyNumberFormat="1">
      <alignment horizontal="right" shrinkToFit="0" vertical="center" wrapText="0"/>
    </xf>
    <xf borderId="0" fillId="8" fontId="19" numFmtId="49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9" fontId="7" numFmtId="49" xfId="0" applyAlignment="1" applyFont="1" applyNumberFormat="1">
      <alignment readingOrder="0" shrinkToFit="0" vertical="center" wrapText="0"/>
    </xf>
    <xf borderId="0" fillId="0" fontId="20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>
        <color rgb="FFC53929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Expenses Log-style">
      <tableStyleElement dxfId="2" type="headerRow"/>
      <tableStyleElement dxfId="3" type="firstRowStripe"/>
      <tableStyleElement dxfId="4" type="secondRowStripe"/>
      <tableStyleElement dxfId="5" type="totalRow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M82" displayName="Expenses" name="Expenses" id="1">
  <autoFilter ref="$A$1:$M$82"/>
  <tableColumns count="13">
    <tableColumn name="Date" id="1"/>
    <tableColumn name="Budget Group" id="2"/>
    <tableColumn name="Expense Type" id="3"/>
    <tableColumn name="Vendor" id="4"/>
    <tableColumn name="Description" id="5"/>
    <tableColumn totalsRowFunction="custom" name="Sub-Total" id="6"/>
    <tableColumn totalsRowFunction="custom" name="Adjustments" id="7"/>
    <tableColumn totalsRowFunction="custom" name="Total" id="8"/>
    <tableColumn name="Paid By" id="9"/>
    <tableColumn name="Status" id="10"/>
    <tableColumn name="Receipt" id="11"/>
    <tableColumn name="Notes" id="12"/>
    <tableColumn name="Budget Month" id="13"/>
  </tableColumns>
  <tableStyleInfo name="Expenses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wQPmeiotF5bBFmX8YMQvquHrfcl97UZ2/view?usp=drive_link" TargetMode="External"/><Relationship Id="rId22" Type="http://schemas.openxmlformats.org/officeDocument/2006/relationships/hyperlink" Target="https://drive.google.com/file/d/1hqXUeiRb8sgBzlExZsefkl7wJKAm8acN/view?usp=drive_link" TargetMode="External"/><Relationship Id="rId21" Type="http://schemas.openxmlformats.org/officeDocument/2006/relationships/hyperlink" Target="https://drive.google.com/file/d/1QQK8RhiAat7ZySTrXanbV1UwKGdW6IPS/view?usp=drive_link" TargetMode="External"/><Relationship Id="rId24" Type="http://schemas.openxmlformats.org/officeDocument/2006/relationships/hyperlink" Target="https://drive.google.com/file/d/17b89Wpq_g3WHWqBgXeSY36IyTOtqvovO/view?usp=drive_link" TargetMode="External"/><Relationship Id="rId23" Type="http://schemas.openxmlformats.org/officeDocument/2006/relationships/hyperlink" Target="https://drive.google.com/file/d/1igAiUmX2GxQEyu3R8i8S8BxQp9hE-N5O/view?usp=drive_link" TargetMode="External"/><Relationship Id="rId1" Type="http://schemas.openxmlformats.org/officeDocument/2006/relationships/hyperlink" Target="https://drive.google.com/file/d/1Eot860jT2GteHGpISa23jdBD4Okv0IKr/view?usp=drive_link" TargetMode="External"/><Relationship Id="rId2" Type="http://schemas.openxmlformats.org/officeDocument/2006/relationships/hyperlink" Target="https://drive.google.com/file/d/1M4cpjkTXipuZoDREnTVawsGm79-a52__/view?usp=drive_link" TargetMode="External"/><Relationship Id="rId3" Type="http://schemas.openxmlformats.org/officeDocument/2006/relationships/hyperlink" Target="https://drive.google.com/file/d/1ICCUGBAsp0bFYNBxZyEifyF2k6ol-H31/view?usp=drive_link" TargetMode="External"/><Relationship Id="rId4" Type="http://schemas.openxmlformats.org/officeDocument/2006/relationships/hyperlink" Target="https://drive.google.com/file/d/1vrkRigKj1ZxGH4q6vDAJLHXVitUwpiDQ/view?usp=drive_link" TargetMode="External"/><Relationship Id="rId9" Type="http://schemas.openxmlformats.org/officeDocument/2006/relationships/hyperlink" Target="https://drive.google.com/file/d/17hKq9GAkwrLZ19QLjNJeUmYkqKZ9_q2N/view?usp=drive_link" TargetMode="External"/><Relationship Id="rId26" Type="http://schemas.openxmlformats.org/officeDocument/2006/relationships/hyperlink" Target="https://drive.google.com/file/d/1oSXau3h9e9xQ0szTEqgSNqxp2noTCdPC/view?usp=drive_link" TargetMode="External"/><Relationship Id="rId25" Type="http://schemas.openxmlformats.org/officeDocument/2006/relationships/hyperlink" Target="https://drive.google.com/file/d/1aX4CldQErR9hNEUTP_3r3o2uZXXd3a7l/view?usp=drive_link" TargetMode="External"/><Relationship Id="rId28" Type="http://schemas.openxmlformats.org/officeDocument/2006/relationships/hyperlink" Target="https://drive.google.com/file/d/139abuYu-lVln-N3kkwzBGCpDBXhpViiQ/view?usp=drive_link" TargetMode="External"/><Relationship Id="rId27" Type="http://schemas.openxmlformats.org/officeDocument/2006/relationships/hyperlink" Target="https://drive.google.com/file/d/1F3RsB171miGfoR-J_8aZetQTqSUFGdEA/view?usp=drive_link" TargetMode="External"/><Relationship Id="rId5" Type="http://schemas.openxmlformats.org/officeDocument/2006/relationships/hyperlink" Target="https://drive.google.com/file/d/1p8bfuWNZZxzfn79cwv0TM7EmoRFZw3LJ/view?usp=drive_link" TargetMode="External"/><Relationship Id="rId6" Type="http://schemas.openxmlformats.org/officeDocument/2006/relationships/hyperlink" Target="https://drive.google.com/file/d/1U-O_FJwXvaRY78EmdSA0TESVwBReTQk8/view?usp=drive_link" TargetMode="External"/><Relationship Id="rId29" Type="http://schemas.openxmlformats.org/officeDocument/2006/relationships/hyperlink" Target="https://drive.google.com/file/d/1PT8scIeSzRj6L5O62Gp8EeYTd_bYLrUX/view?usp=drive_link" TargetMode="External"/><Relationship Id="rId7" Type="http://schemas.openxmlformats.org/officeDocument/2006/relationships/hyperlink" Target="https://drive.google.com/file/d/1VU9oteN_vj7wsGNFz-XN_FAU7BZA1BWO/view?usp=drive_link" TargetMode="External"/><Relationship Id="rId8" Type="http://schemas.openxmlformats.org/officeDocument/2006/relationships/hyperlink" Target="https://drive.google.com/file/d/1gIlBlhoM3KTUt5dPQjvAK73D0Emy7R8X/view?usp=drive_link" TargetMode="External"/><Relationship Id="rId31" Type="http://schemas.openxmlformats.org/officeDocument/2006/relationships/hyperlink" Target="https://drive.google.com/file/d/1PZ8K57aIJR4bM9XZB8CwJMC1iubyX_uE/view?usp=drive_link" TargetMode="External"/><Relationship Id="rId30" Type="http://schemas.openxmlformats.org/officeDocument/2006/relationships/hyperlink" Target="https://drive.google.com/file/d/1GASIFU44jsSRtKrGygl5n80X1SVtt8ij/view?usp=drive_link" TargetMode="External"/><Relationship Id="rId11" Type="http://schemas.openxmlformats.org/officeDocument/2006/relationships/hyperlink" Target="https://drive.google.com/file/d/1o8JQUjfn9tsfwXz7DObRhKYaiP3JEnXg/view?usp=drive_link" TargetMode="External"/><Relationship Id="rId33" Type="http://schemas.openxmlformats.org/officeDocument/2006/relationships/hyperlink" Target="https://drive.google.com/file/d/1cZ_Z4mSUXFf6KmUSfocMuQGJ6DKhw0YO/view?usp=drive_link" TargetMode="External"/><Relationship Id="rId10" Type="http://schemas.openxmlformats.org/officeDocument/2006/relationships/hyperlink" Target="https://drive.google.com/file/d/1K9wZImq-LU9mIMNguk3YKvWUhfTLHFnB/view?usp=drive_link" TargetMode="External"/><Relationship Id="rId32" Type="http://schemas.openxmlformats.org/officeDocument/2006/relationships/hyperlink" Target="https://drive.google.com/file/d/1CVCGxy1xjgpTJtGtkevqOcziYvYmqTb6/view?usp=drive_link" TargetMode="External"/><Relationship Id="rId13" Type="http://schemas.openxmlformats.org/officeDocument/2006/relationships/hyperlink" Target="https://drive.google.com/file/d/1dSJHN3lDnW8Rp6UbOCe47K0tB1g8psFA/view?usp=drive_link" TargetMode="External"/><Relationship Id="rId35" Type="http://schemas.openxmlformats.org/officeDocument/2006/relationships/hyperlink" Target="https://drive.google.com/file/d/1LDUHN9OJJq8FoiNeAZOanZbfisNSjwNI/view?usp=drive_link" TargetMode="External"/><Relationship Id="rId12" Type="http://schemas.openxmlformats.org/officeDocument/2006/relationships/hyperlink" Target="https://drive.google.com/file/d/11GT6COoQHbgmAtWVOa6U-hDkWrRE47jG/view?usp=drive_link" TargetMode="External"/><Relationship Id="rId34" Type="http://schemas.openxmlformats.org/officeDocument/2006/relationships/hyperlink" Target="https://drive.google.com/file/d/1hepKcqBKpd8z1eh813T7-jVp0X3Yctv-/view?usp=drive_link" TargetMode="External"/><Relationship Id="rId15" Type="http://schemas.openxmlformats.org/officeDocument/2006/relationships/hyperlink" Target="https://drive.google.com/file/d/10aGvufWcLP7IM6RYp_CD5CUpg2Pu4Pnn/view?usp=drive_link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drive.google.com/file/d/1HsrVo1K_wCf9mw4w1HdiuviijKbYMDM3/view?usp=drive_link" TargetMode="External"/><Relationship Id="rId36" Type="http://schemas.openxmlformats.org/officeDocument/2006/relationships/hyperlink" Target="https://drive.google.com/file/d/13B4lvbFHoQAaM6KjLAqhtBEWr1VqdEfr/view?usp=drive_link" TargetMode="External"/><Relationship Id="rId17" Type="http://schemas.openxmlformats.org/officeDocument/2006/relationships/hyperlink" Target="https://drive.google.com/file/d/19ceHvA7PddR-4G5WsuNb_lJWsZuxbbzp/view?usp=drive_link" TargetMode="External"/><Relationship Id="rId39" Type="http://schemas.openxmlformats.org/officeDocument/2006/relationships/table" Target="../tables/table1.xml"/><Relationship Id="rId16" Type="http://schemas.openxmlformats.org/officeDocument/2006/relationships/hyperlink" Target="https://drive.google.com/file/d/1RLXyNHgpHhP0nRpkx3oJK5CatNZDDNdF/view?usp=drive_link" TargetMode="External"/><Relationship Id="rId19" Type="http://schemas.openxmlformats.org/officeDocument/2006/relationships/hyperlink" Target="https://drive.google.com/file/d/1wQPmeiotF5bBFmX8YMQvquHrfcl97UZ2/view?usp=drive_link" TargetMode="External"/><Relationship Id="rId18" Type="http://schemas.openxmlformats.org/officeDocument/2006/relationships/hyperlink" Target="https://drive.google.com/file/d/17yPthvGPXpLorr_fY9S6QHHCL90K1SW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4" width="17.63"/>
    <col customWidth="1" min="5" max="5" width="10.13"/>
    <col customWidth="1" min="6" max="6" width="50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ht="22.5" customHeight="1">
      <c r="A2" s="4" t="s">
        <v>6</v>
      </c>
      <c r="B2" s="5">
        <f t="shared" ref="B2:C2" si="1">sum(B3:B4)</f>
        <v>700</v>
      </c>
      <c r="C2" s="5">
        <f t="shared" si="1"/>
        <v>203</v>
      </c>
      <c r="D2" s="5">
        <f t="shared" ref="D2:D20" si="2">B2-C2</f>
        <v>497</v>
      </c>
      <c r="E2" s="6">
        <f t="shared" ref="E2:E20" si="3">iferror(C2/B2, 0)</f>
        <v>0.29</v>
      </c>
      <c r="F2" s="7"/>
    </row>
    <row r="3" ht="22.5" customHeight="1">
      <c r="A3" s="8" t="s">
        <v>7</v>
      </c>
      <c r="B3" s="9">
        <f>'Budget vs Actual - Monthly'!X4</f>
        <v>420</v>
      </c>
      <c r="C3" s="10">
        <f>'Budget vs Actual - Monthly'!Y4</f>
        <v>203</v>
      </c>
      <c r="D3" s="10">
        <f t="shared" si="2"/>
        <v>217</v>
      </c>
      <c r="E3" s="11">
        <f t="shared" si="3"/>
        <v>0.4833333333</v>
      </c>
      <c r="F3" s="12"/>
    </row>
    <row r="4" ht="22.5" customHeight="1">
      <c r="A4" s="8" t="s">
        <v>8</v>
      </c>
      <c r="B4" s="9">
        <f>'Budget vs Actual - Monthly'!X5</f>
        <v>280</v>
      </c>
      <c r="C4" s="10">
        <f>'Budget vs Actual - Monthly'!Y5</f>
        <v>0</v>
      </c>
      <c r="D4" s="10">
        <f t="shared" si="2"/>
        <v>280</v>
      </c>
      <c r="E4" s="11">
        <f t="shared" si="3"/>
        <v>0</v>
      </c>
      <c r="F4" s="12"/>
    </row>
    <row r="5" ht="22.5" customHeight="1">
      <c r="A5" s="13" t="s">
        <v>9</v>
      </c>
      <c r="B5" s="5">
        <f t="shared" ref="B5:C5" si="4">SUM(B6:B7)</f>
        <v>4800</v>
      </c>
      <c r="C5" s="5">
        <f t="shared" si="4"/>
        <v>3091.17</v>
      </c>
      <c r="D5" s="5">
        <f t="shared" si="2"/>
        <v>1708.83</v>
      </c>
      <c r="E5" s="6">
        <f t="shared" si="3"/>
        <v>0.64399375</v>
      </c>
      <c r="F5" s="7"/>
    </row>
    <row r="6" ht="22.5" customHeight="1">
      <c r="A6" s="8" t="s">
        <v>10</v>
      </c>
      <c r="B6" s="10">
        <f>'Budget vs Actual - Monthly'!X7</f>
        <v>4000</v>
      </c>
      <c r="C6" s="10">
        <f>'Budget vs Actual - Monthly'!Y7</f>
        <v>3131.17</v>
      </c>
      <c r="D6" s="10">
        <f t="shared" si="2"/>
        <v>868.83</v>
      </c>
      <c r="E6" s="11">
        <f t="shared" si="3"/>
        <v>0.7827925</v>
      </c>
      <c r="F6" s="12"/>
    </row>
    <row r="7" ht="22.5" customHeight="1">
      <c r="A7" s="8" t="s">
        <v>11</v>
      </c>
      <c r="B7" s="10">
        <f>'Budget vs Actual - Monthly'!X8</f>
        <v>800</v>
      </c>
      <c r="C7" s="10">
        <f>'Budget vs Actual - Monthly'!Y8</f>
        <v>-40</v>
      </c>
      <c r="D7" s="10">
        <f t="shared" si="2"/>
        <v>840</v>
      </c>
      <c r="E7" s="11">
        <f t="shared" si="3"/>
        <v>-0.05</v>
      </c>
      <c r="F7" s="12"/>
    </row>
    <row r="8" ht="22.5" customHeight="1">
      <c r="A8" s="13" t="s">
        <v>12</v>
      </c>
      <c r="B8" s="5">
        <f t="shared" ref="B8:C8" si="5">SUM(B9:B10)</f>
        <v>3600</v>
      </c>
      <c r="C8" s="5">
        <f t="shared" si="5"/>
        <v>763.81</v>
      </c>
      <c r="D8" s="5">
        <f t="shared" si="2"/>
        <v>2836.19</v>
      </c>
      <c r="E8" s="6">
        <f t="shared" si="3"/>
        <v>0.2121694444</v>
      </c>
      <c r="F8" s="7"/>
    </row>
    <row r="9" ht="22.5" customHeight="1">
      <c r="A9" s="8" t="s">
        <v>13</v>
      </c>
      <c r="B9" s="10">
        <f>'Budget vs Actual - Monthly'!X10</f>
        <v>1250</v>
      </c>
      <c r="C9" s="10">
        <f>'Budget vs Actual - Monthly'!Y10</f>
        <v>363.81</v>
      </c>
      <c r="D9" s="10">
        <f t="shared" si="2"/>
        <v>886.19</v>
      </c>
      <c r="E9" s="11">
        <f t="shared" si="3"/>
        <v>0.291048</v>
      </c>
      <c r="F9" s="12"/>
    </row>
    <row r="10" ht="22.5" customHeight="1">
      <c r="A10" s="8" t="s">
        <v>14</v>
      </c>
      <c r="B10" s="10">
        <f>'Budget vs Actual - Monthly'!X11</f>
        <v>2350</v>
      </c>
      <c r="C10" s="10">
        <f>'Budget vs Actual - Monthly'!Y11</f>
        <v>400</v>
      </c>
      <c r="D10" s="10">
        <f t="shared" si="2"/>
        <v>1950</v>
      </c>
      <c r="E10" s="11">
        <f t="shared" si="3"/>
        <v>0.170212766</v>
      </c>
      <c r="F10" s="12"/>
    </row>
    <row r="11" ht="22.5" customHeight="1">
      <c r="A11" s="14" t="s">
        <v>15</v>
      </c>
      <c r="B11" s="5">
        <f t="shared" ref="B11:C11" si="6">sum(B12:B17)</f>
        <v>3300</v>
      </c>
      <c r="C11" s="5">
        <f t="shared" si="6"/>
        <v>3178.92</v>
      </c>
      <c r="D11" s="5">
        <f t="shared" si="2"/>
        <v>121.08</v>
      </c>
      <c r="E11" s="6">
        <f t="shared" si="3"/>
        <v>0.9633090909</v>
      </c>
      <c r="F11" s="7"/>
    </row>
    <row r="12" ht="22.5" customHeight="1">
      <c r="A12" s="15" t="s">
        <v>16</v>
      </c>
      <c r="B12" s="10">
        <f>'Budget vs Actual - Monthly'!X13</f>
        <v>0</v>
      </c>
      <c r="C12" s="10">
        <f>'Budget vs Actual - Monthly'!Y13</f>
        <v>100.13</v>
      </c>
      <c r="D12" s="10">
        <f t="shared" si="2"/>
        <v>-100.13</v>
      </c>
      <c r="E12" s="11">
        <f t="shared" si="3"/>
        <v>0</v>
      </c>
      <c r="F12" s="15" t="s">
        <v>17</v>
      </c>
    </row>
    <row r="13" ht="22.5" customHeight="1">
      <c r="A13" s="15" t="s">
        <v>18</v>
      </c>
      <c r="B13" s="10">
        <f>'Budget vs Actual - Monthly'!X14</f>
        <v>800</v>
      </c>
      <c r="C13" s="10">
        <f>'Budget vs Actual - Monthly'!Y14</f>
        <v>490.41</v>
      </c>
      <c r="D13" s="10">
        <f t="shared" si="2"/>
        <v>309.59</v>
      </c>
      <c r="E13" s="11">
        <f t="shared" si="3"/>
        <v>0.6130125</v>
      </c>
      <c r="F13" s="12"/>
    </row>
    <row r="14" ht="22.5" customHeight="1">
      <c r="A14" s="15" t="s">
        <v>19</v>
      </c>
      <c r="B14" s="10">
        <f>'Budget vs Actual - Monthly'!X15</f>
        <v>0</v>
      </c>
      <c r="C14" s="10">
        <f>'Budget vs Actual - Monthly'!Y15</f>
        <v>0</v>
      </c>
      <c r="D14" s="10">
        <f t="shared" si="2"/>
        <v>0</v>
      </c>
      <c r="E14" s="11">
        <f t="shared" si="3"/>
        <v>0</v>
      </c>
      <c r="F14" s="15" t="s">
        <v>17</v>
      </c>
    </row>
    <row r="15" ht="22.5" customHeight="1">
      <c r="A15" s="15" t="s">
        <v>20</v>
      </c>
      <c r="B15" s="10">
        <f>'Budget vs Actual - Monthly'!X16</f>
        <v>500</v>
      </c>
      <c r="C15" s="10">
        <f>'Budget vs Actual - Monthly'!Y16</f>
        <v>424.29</v>
      </c>
      <c r="D15" s="10">
        <f t="shared" si="2"/>
        <v>75.71</v>
      </c>
      <c r="E15" s="11">
        <f t="shared" si="3"/>
        <v>0.84858</v>
      </c>
      <c r="F15" s="12"/>
    </row>
    <row r="16" ht="22.5" customHeight="1">
      <c r="A16" s="15" t="s">
        <v>21</v>
      </c>
      <c r="B16" s="10">
        <f>'Budget vs Actual - Monthly'!X17</f>
        <v>1000</v>
      </c>
      <c r="C16" s="10">
        <f>'Budget vs Actual - Monthly'!Y17</f>
        <v>1071.7</v>
      </c>
      <c r="D16" s="10">
        <f t="shared" si="2"/>
        <v>-71.7</v>
      </c>
      <c r="E16" s="11">
        <f t="shared" si="3"/>
        <v>1.0717</v>
      </c>
      <c r="F16" s="12"/>
    </row>
    <row r="17" ht="22.5" customHeight="1">
      <c r="A17" s="15" t="s">
        <v>22</v>
      </c>
      <c r="B17" s="10">
        <f>'Budget vs Actual - Monthly'!X18</f>
        <v>1000</v>
      </c>
      <c r="C17" s="10">
        <f>'Budget vs Actual - Monthly'!Y18</f>
        <v>1092.39</v>
      </c>
      <c r="D17" s="10">
        <f t="shared" si="2"/>
        <v>-92.39</v>
      </c>
      <c r="E17" s="11">
        <f t="shared" si="3"/>
        <v>1.09239</v>
      </c>
      <c r="F17" s="12"/>
    </row>
    <row r="18" ht="22.5" customHeight="1">
      <c r="A18" s="13" t="s">
        <v>23</v>
      </c>
      <c r="B18" s="5">
        <f t="shared" ref="B18:C18" si="7">sum(B19,B20)</f>
        <v>2500</v>
      </c>
      <c r="C18" s="5">
        <f t="shared" si="7"/>
        <v>3000</v>
      </c>
      <c r="D18" s="5">
        <f t="shared" si="2"/>
        <v>-500</v>
      </c>
      <c r="E18" s="6">
        <f t="shared" si="3"/>
        <v>1.2</v>
      </c>
      <c r="F18" s="7"/>
    </row>
    <row r="19" ht="22.5" customHeight="1">
      <c r="A19" s="8" t="s">
        <v>24</v>
      </c>
      <c r="B19" s="10">
        <f>'Budget vs Actual - Monthly'!X20</f>
        <v>2500</v>
      </c>
      <c r="C19" s="10">
        <f>'Budget vs Actual - Monthly'!Y20</f>
        <v>0</v>
      </c>
      <c r="D19" s="10">
        <f t="shared" si="2"/>
        <v>2500</v>
      </c>
      <c r="E19" s="11">
        <f t="shared" si="3"/>
        <v>0</v>
      </c>
      <c r="F19" s="12"/>
    </row>
    <row r="20" ht="22.5" customHeight="1">
      <c r="A20" s="15" t="s">
        <v>25</v>
      </c>
      <c r="B20" s="10">
        <f>'Budget vs Actual - Monthly'!X21</f>
        <v>0</v>
      </c>
      <c r="C20" s="10">
        <f>'Budget vs Actual - Monthly'!Y21</f>
        <v>3000</v>
      </c>
      <c r="D20" s="10">
        <f t="shared" si="2"/>
        <v>-3000</v>
      </c>
      <c r="E20" s="11">
        <f t="shared" si="3"/>
        <v>0</v>
      </c>
      <c r="F20" s="12"/>
    </row>
    <row r="21" ht="22.5" customHeight="1">
      <c r="A21" s="16" t="s">
        <v>26</v>
      </c>
      <c r="B21" s="17">
        <f t="shared" ref="B21:D21" si="8">sum(B2,B5,B8,B11,B18)</f>
        <v>14900</v>
      </c>
      <c r="C21" s="17">
        <f t="shared" si="8"/>
        <v>10236.9</v>
      </c>
      <c r="D21" s="17">
        <f t="shared" si="8"/>
        <v>4663.1</v>
      </c>
      <c r="E21" s="18">
        <f>C21/B21</f>
        <v>0.6870402685</v>
      </c>
      <c r="F21" s="19"/>
    </row>
  </sheetData>
  <conditionalFormatting sqref="D1:D21">
    <cfRule type="cellIs" dxfId="0" priority="1" operator="lessThan">
      <formula>0</formula>
    </cfRule>
  </conditionalFormatting>
  <conditionalFormatting sqref="E1:E21">
    <cfRule type="cellIs" dxfId="0" priority="2" operator="greaterThan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2.63"/>
    <col customWidth="1" min="2" max="25" width="12.63"/>
  </cols>
  <sheetData>
    <row r="1" ht="22.5" customHeight="1">
      <c r="A1" s="20"/>
      <c r="B1" s="21" t="s">
        <v>27</v>
      </c>
      <c r="C1" s="22">
        <v>2025.0</v>
      </c>
      <c r="D1" s="21" t="s">
        <v>28</v>
      </c>
      <c r="E1" s="22">
        <v>2025.0</v>
      </c>
      <c r="F1" s="21" t="s">
        <v>29</v>
      </c>
      <c r="G1" s="22">
        <v>2025.0</v>
      </c>
      <c r="H1" s="21" t="s">
        <v>30</v>
      </c>
      <c r="I1" s="22">
        <v>2025.0</v>
      </c>
      <c r="J1" s="21" t="s">
        <v>31</v>
      </c>
      <c r="K1" s="22">
        <v>2026.0</v>
      </c>
      <c r="L1" s="21" t="s">
        <v>15</v>
      </c>
      <c r="M1" s="22">
        <v>2026.0</v>
      </c>
      <c r="N1" s="21" t="s">
        <v>32</v>
      </c>
      <c r="O1" s="22">
        <v>2026.0</v>
      </c>
      <c r="P1" s="21" t="s">
        <v>33</v>
      </c>
      <c r="Q1" s="22">
        <v>2026.0</v>
      </c>
      <c r="R1" s="21" t="s">
        <v>34</v>
      </c>
      <c r="S1" s="22">
        <v>2026.0</v>
      </c>
      <c r="T1" s="21" t="s">
        <v>35</v>
      </c>
      <c r="U1" s="22">
        <v>2026.0</v>
      </c>
      <c r="V1" s="21" t="s">
        <v>36</v>
      </c>
      <c r="W1" s="22">
        <v>2026.0</v>
      </c>
      <c r="X1" s="23" t="s">
        <v>37</v>
      </c>
      <c r="Y1" s="24"/>
    </row>
    <row r="2" ht="22.5" customHeight="1">
      <c r="A2" s="25" t="s">
        <v>0</v>
      </c>
      <c r="B2" s="26" t="s">
        <v>38</v>
      </c>
      <c r="C2" s="27" t="s">
        <v>39</v>
      </c>
      <c r="D2" s="26" t="s">
        <v>38</v>
      </c>
      <c r="E2" s="27" t="s">
        <v>39</v>
      </c>
      <c r="F2" s="26" t="s">
        <v>38</v>
      </c>
      <c r="G2" s="27" t="s">
        <v>39</v>
      </c>
      <c r="H2" s="26" t="s">
        <v>38</v>
      </c>
      <c r="I2" s="27" t="s">
        <v>39</v>
      </c>
      <c r="J2" s="26" t="s">
        <v>38</v>
      </c>
      <c r="K2" s="27" t="s">
        <v>39</v>
      </c>
      <c r="L2" s="26" t="s">
        <v>38</v>
      </c>
      <c r="M2" s="27" t="s">
        <v>39</v>
      </c>
      <c r="N2" s="26" t="s">
        <v>38</v>
      </c>
      <c r="O2" s="27" t="s">
        <v>39</v>
      </c>
      <c r="P2" s="28" t="s">
        <v>38</v>
      </c>
      <c r="Q2" s="27" t="s">
        <v>39</v>
      </c>
      <c r="R2" s="26" t="s">
        <v>38</v>
      </c>
      <c r="S2" s="27" t="s">
        <v>39</v>
      </c>
      <c r="T2" s="26" t="s">
        <v>38</v>
      </c>
      <c r="U2" s="27" t="s">
        <v>39</v>
      </c>
      <c r="V2" s="26" t="s">
        <v>38</v>
      </c>
      <c r="W2" s="27" t="s">
        <v>39</v>
      </c>
      <c r="X2" s="29" t="s">
        <v>40</v>
      </c>
      <c r="Y2" s="30" t="s">
        <v>41</v>
      </c>
    </row>
    <row r="3" ht="22.5" customHeight="1">
      <c r="A3" s="4" t="s">
        <v>6</v>
      </c>
      <c r="B3" s="31">
        <f t="shared" ref="B3:W3" si="1">SUM(B4:B5)</f>
        <v>315</v>
      </c>
      <c r="C3" s="32">
        <f t="shared" si="1"/>
        <v>0</v>
      </c>
      <c r="D3" s="31">
        <f t="shared" si="1"/>
        <v>35</v>
      </c>
      <c r="E3" s="32">
        <f t="shared" si="1"/>
        <v>0</v>
      </c>
      <c r="F3" s="31">
        <f t="shared" si="1"/>
        <v>35</v>
      </c>
      <c r="G3" s="32">
        <f t="shared" si="1"/>
        <v>0</v>
      </c>
      <c r="H3" s="31">
        <f t="shared" si="1"/>
        <v>35</v>
      </c>
      <c r="I3" s="32">
        <f t="shared" si="1"/>
        <v>0</v>
      </c>
      <c r="J3" s="31">
        <f t="shared" si="1"/>
        <v>35</v>
      </c>
      <c r="K3" s="32">
        <f t="shared" si="1"/>
        <v>203</v>
      </c>
      <c r="L3" s="31">
        <f t="shared" si="1"/>
        <v>70</v>
      </c>
      <c r="M3" s="32">
        <f t="shared" si="1"/>
        <v>0</v>
      </c>
      <c r="N3" s="31">
        <f t="shared" si="1"/>
        <v>35</v>
      </c>
      <c r="O3" s="32">
        <f t="shared" si="1"/>
        <v>0</v>
      </c>
      <c r="P3" s="31">
        <f t="shared" si="1"/>
        <v>35</v>
      </c>
      <c r="Q3" s="32">
        <f t="shared" si="1"/>
        <v>0</v>
      </c>
      <c r="R3" s="31">
        <f t="shared" si="1"/>
        <v>35</v>
      </c>
      <c r="S3" s="32">
        <f t="shared" si="1"/>
        <v>0</v>
      </c>
      <c r="T3" s="31">
        <f t="shared" si="1"/>
        <v>35</v>
      </c>
      <c r="U3" s="32">
        <f t="shared" si="1"/>
        <v>0</v>
      </c>
      <c r="V3" s="31">
        <f t="shared" si="1"/>
        <v>35</v>
      </c>
      <c r="W3" s="32">
        <f t="shared" si="1"/>
        <v>0</v>
      </c>
      <c r="X3" s="31">
        <f t="shared" ref="X3:Y3" si="2">sum(X4:X5)</f>
        <v>700</v>
      </c>
      <c r="Y3" s="32">
        <f t="shared" si="2"/>
        <v>203</v>
      </c>
    </row>
    <row r="4" ht="22.5" customHeight="1" outlineLevel="1">
      <c r="A4" s="8" t="s">
        <v>7</v>
      </c>
      <c r="B4" s="33">
        <v>35.0</v>
      </c>
      <c r="C4" s="34">
        <f>sumifs('Expenses Log'!$H:$H,'Expenses Log'!$B:$B, $A4,'Expenses Log'!$M:$M, B$1)</f>
        <v>0</v>
      </c>
      <c r="D4" s="33">
        <v>35.0</v>
      </c>
      <c r="E4" s="34">
        <f>sumifs('Expenses Log'!$H:$H,'Expenses Log'!$B:$B, $A4,'Expenses Log'!$M:$M, D$1)</f>
        <v>0</v>
      </c>
      <c r="F4" s="33">
        <v>35.0</v>
      </c>
      <c r="G4" s="34">
        <f>sumifs('Expenses Log'!$H:$H,'Expenses Log'!$B:$B, $A4,'Expenses Log'!$M:$M, F$1)</f>
        <v>0</v>
      </c>
      <c r="H4" s="33">
        <v>35.0</v>
      </c>
      <c r="I4" s="34">
        <f>sumifs('Expenses Log'!$H:$H,'Expenses Log'!$B:$B, $A4,'Expenses Log'!$M:$M, H$1)</f>
        <v>0</v>
      </c>
      <c r="J4" s="33">
        <v>35.0</v>
      </c>
      <c r="K4" s="34">
        <f>sumifs('Expenses Log'!$H:$H,'Expenses Log'!$B:$B, $A4,'Expenses Log'!$M:$M, J$1)</f>
        <v>203</v>
      </c>
      <c r="L4" s="33">
        <v>70.0</v>
      </c>
      <c r="M4" s="34">
        <f>sumifs('Expenses Log'!$H:$H,'Expenses Log'!$B:$B, $A4,'Expenses Log'!$M:$M, L$1)</f>
        <v>0</v>
      </c>
      <c r="N4" s="33">
        <v>35.0</v>
      </c>
      <c r="O4" s="34">
        <f>sumifs('Expenses Log'!$H:$H,'Expenses Log'!$B:$B, $A4,'Expenses Log'!$M:$M, N$1)</f>
        <v>0</v>
      </c>
      <c r="P4" s="33">
        <v>35.0</v>
      </c>
      <c r="Q4" s="34">
        <f>sumifs('Expenses Log'!$H:$H,'Expenses Log'!$B:$B, $A4,'Expenses Log'!$M:$M, P$1)</f>
        <v>0</v>
      </c>
      <c r="R4" s="33">
        <v>35.0</v>
      </c>
      <c r="S4" s="34">
        <f>sumifs('Expenses Log'!$H:$H,'Expenses Log'!$B:$B, $A4,'Expenses Log'!$M:$M, R$1)</f>
        <v>0</v>
      </c>
      <c r="T4" s="33">
        <v>35.0</v>
      </c>
      <c r="U4" s="34">
        <f>sumifs('Expenses Log'!$H:$H,'Expenses Log'!$B:$B, $A4,'Expenses Log'!$M:$M, T$1)</f>
        <v>0</v>
      </c>
      <c r="V4" s="33">
        <v>35.0</v>
      </c>
      <c r="W4" s="34">
        <f>sumifs('Expenses Log'!$H:$H,'Expenses Log'!$B:$B, $A4,'Expenses Log'!$M:$M, V$1)</f>
        <v>0</v>
      </c>
      <c r="X4" s="35">
        <f t="shared" ref="X4:Y4" si="3">sum(B4,D4,F4,H4,J4,L4,N4,P4,R4,T4,V4)</f>
        <v>420</v>
      </c>
      <c r="Y4" s="36">
        <f t="shared" si="3"/>
        <v>203</v>
      </c>
    </row>
    <row r="5" ht="22.5" customHeight="1" outlineLevel="1">
      <c r="A5" s="8" t="s">
        <v>8</v>
      </c>
      <c r="B5" s="33">
        <v>280.0</v>
      </c>
      <c r="C5" s="34">
        <f>sumifs('Expenses Log'!$H:$H,'Expenses Log'!$B:$B, $A5,'Expenses Log'!$M:$M, B$1)</f>
        <v>0</v>
      </c>
      <c r="D5" s="33"/>
      <c r="E5" s="34">
        <f>sumifs('Expenses Log'!$H:$H,'Expenses Log'!$B:$B, $A5,'Expenses Log'!$M:$M, D$1)</f>
        <v>0</v>
      </c>
      <c r="F5" s="33"/>
      <c r="G5" s="34">
        <f>sumifs('Expenses Log'!$H:$H,'Expenses Log'!$B:$B, $A5,'Expenses Log'!$M:$M, F$1)</f>
        <v>0</v>
      </c>
      <c r="H5" s="33"/>
      <c r="I5" s="34">
        <f>sumifs('Expenses Log'!$H:$H,'Expenses Log'!$B:$B, $A5,'Expenses Log'!$M:$M, H$1)</f>
        <v>0</v>
      </c>
      <c r="J5" s="33"/>
      <c r="K5" s="34">
        <f>sumifs('Expenses Log'!$H:$H,'Expenses Log'!$B:$B, $A5,'Expenses Log'!$M:$M, J$1)</f>
        <v>0</v>
      </c>
      <c r="L5" s="33"/>
      <c r="M5" s="34">
        <f>sumifs('Expenses Log'!$H:$H,'Expenses Log'!$B:$B, $A5,'Expenses Log'!$M:$M, L$1)</f>
        <v>0</v>
      </c>
      <c r="N5" s="33"/>
      <c r="O5" s="34">
        <f>sumifs('Expenses Log'!$H:$H,'Expenses Log'!$B:$B, $A5,'Expenses Log'!$M:$M, N$1)</f>
        <v>0</v>
      </c>
      <c r="P5" s="33"/>
      <c r="Q5" s="34">
        <f>sumifs('Expenses Log'!$H:$H,'Expenses Log'!$B:$B, $A5,'Expenses Log'!$M:$M, P$1)</f>
        <v>0</v>
      </c>
      <c r="R5" s="33"/>
      <c r="S5" s="34">
        <f>sumifs('Expenses Log'!$H:$H,'Expenses Log'!$B:$B, $A5,'Expenses Log'!$M:$M, R$1)</f>
        <v>0</v>
      </c>
      <c r="T5" s="33"/>
      <c r="U5" s="34">
        <f>sumifs('Expenses Log'!$H:$H,'Expenses Log'!$B:$B, $A5,'Expenses Log'!$M:$M, T$1)</f>
        <v>0</v>
      </c>
      <c r="V5" s="33"/>
      <c r="W5" s="34">
        <f>sumifs('Expenses Log'!$H:$H,'Expenses Log'!$B:$B, $A5,'Expenses Log'!$M:$M, V$1)</f>
        <v>0</v>
      </c>
      <c r="X5" s="35">
        <f t="shared" ref="X5:Y5" si="4">sum(B5,D5,F5,H5,J5,L5,N5,P5,R5,T5,V5)</f>
        <v>280</v>
      </c>
      <c r="Y5" s="36">
        <f t="shared" si="4"/>
        <v>0</v>
      </c>
    </row>
    <row r="6" ht="22.5" customHeight="1">
      <c r="A6" s="13" t="s">
        <v>9</v>
      </c>
      <c r="B6" s="31">
        <f t="shared" ref="B6:Y6" si="5">SUM(B7:B8)</f>
        <v>200</v>
      </c>
      <c r="C6" s="32">
        <f t="shared" si="5"/>
        <v>0</v>
      </c>
      <c r="D6" s="31">
        <f t="shared" si="5"/>
        <v>0</v>
      </c>
      <c r="E6" s="32">
        <f t="shared" si="5"/>
        <v>0</v>
      </c>
      <c r="F6" s="31">
        <f t="shared" si="5"/>
        <v>0</v>
      </c>
      <c r="G6" s="32">
        <f t="shared" si="5"/>
        <v>0</v>
      </c>
      <c r="H6" s="31">
        <f t="shared" si="5"/>
        <v>200</v>
      </c>
      <c r="I6" s="32">
        <f t="shared" si="5"/>
        <v>0</v>
      </c>
      <c r="J6" s="31">
        <f t="shared" si="5"/>
        <v>2000</v>
      </c>
      <c r="K6" s="32">
        <f t="shared" si="5"/>
        <v>1631.17</v>
      </c>
      <c r="L6" s="31">
        <f t="shared" si="5"/>
        <v>200</v>
      </c>
      <c r="M6" s="32">
        <f t="shared" si="5"/>
        <v>0</v>
      </c>
      <c r="N6" s="31">
        <f t="shared" si="5"/>
        <v>0</v>
      </c>
      <c r="O6" s="32">
        <f t="shared" si="5"/>
        <v>710</v>
      </c>
      <c r="P6" s="31">
        <f t="shared" si="5"/>
        <v>2000</v>
      </c>
      <c r="Q6" s="32">
        <f t="shared" si="5"/>
        <v>750</v>
      </c>
      <c r="R6" s="31">
        <f t="shared" si="5"/>
        <v>200</v>
      </c>
      <c r="S6" s="32">
        <f t="shared" si="5"/>
        <v>0</v>
      </c>
      <c r="T6" s="31">
        <f t="shared" si="5"/>
        <v>0</v>
      </c>
      <c r="U6" s="32">
        <f t="shared" si="5"/>
        <v>0</v>
      </c>
      <c r="V6" s="31">
        <f t="shared" si="5"/>
        <v>0</v>
      </c>
      <c r="W6" s="32">
        <f t="shared" si="5"/>
        <v>0</v>
      </c>
      <c r="X6" s="31">
        <f t="shared" si="5"/>
        <v>4800</v>
      </c>
      <c r="Y6" s="32">
        <f t="shared" si="5"/>
        <v>3091.17</v>
      </c>
    </row>
    <row r="7" ht="22.5" customHeight="1" outlineLevel="1">
      <c r="A7" s="8" t="s">
        <v>10</v>
      </c>
      <c r="B7" s="33"/>
      <c r="C7" s="34">
        <f>sumifs('Expenses Log'!$H:$H,'Expenses Log'!$B:$B, $A7,'Expenses Log'!$M:$M, B$1)</f>
        <v>0</v>
      </c>
      <c r="D7" s="33"/>
      <c r="E7" s="34">
        <f>sumifs('Expenses Log'!$H:$H,'Expenses Log'!$B:$B, $A7,'Expenses Log'!$M:$M, D$1)</f>
        <v>0</v>
      </c>
      <c r="F7" s="37"/>
      <c r="G7" s="34">
        <f>sumifs('Expenses Log'!$H:$H,'Expenses Log'!$B:$B, $A7,'Expenses Log'!$M:$M, F$1)</f>
        <v>0</v>
      </c>
      <c r="H7" s="37"/>
      <c r="I7" s="34">
        <f>sumifs('Expenses Log'!$H:$H,'Expenses Log'!$B:$B, $A7,'Expenses Log'!$M:$M, H$1)</f>
        <v>0</v>
      </c>
      <c r="J7" s="33">
        <v>2000.0</v>
      </c>
      <c r="K7" s="34">
        <f>sumifs('Expenses Log'!$H:$H,'Expenses Log'!$B:$B, $A7,'Expenses Log'!$M:$M, J$1)</f>
        <v>1631.17</v>
      </c>
      <c r="L7" s="37"/>
      <c r="M7" s="34">
        <f>sumifs('Expenses Log'!$H:$H,'Expenses Log'!$B:$B, $A7,'Expenses Log'!$M:$M, L$1)</f>
        <v>0</v>
      </c>
      <c r="N7" s="33"/>
      <c r="O7" s="34">
        <f>sumifs('Expenses Log'!$H:$H,'Expenses Log'!$B:$B, $A7,'Expenses Log'!$M:$M, N$1)</f>
        <v>750</v>
      </c>
      <c r="P7" s="33">
        <v>2000.0</v>
      </c>
      <c r="Q7" s="34">
        <f>sumifs('Expenses Log'!$H:$H,'Expenses Log'!$B:$B, $A7,'Expenses Log'!$M:$M, P$1)</f>
        <v>750</v>
      </c>
      <c r="R7" s="37"/>
      <c r="S7" s="34">
        <f>sumifs('Expenses Log'!$H:$H,'Expenses Log'!$B:$B, $A7,'Expenses Log'!$M:$M, R$1)</f>
        <v>0</v>
      </c>
      <c r="T7" s="37"/>
      <c r="U7" s="34">
        <f>sumifs('Expenses Log'!$H:$H,'Expenses Log'!$B:$B, $A7,'Expenses Log'!$M:$M, T$1)</f>
        <v>0</v>
      </c>
      <c r="V7" s="37"/>
      <c r="W7" s="34">
        <f>sumifs('Expenses Log'!$H:$H,'Expenses Log'!$B:$B, $A7,'Expenses Log'!$M:$M, V$1)</f>
        <v>0</v>
      </c>
      <c r="X7" s="35">
        <f t="shared" ref="X7:Y7" si="6">sum(B7,D7,F7,H7,J7,L7,N7,P7,R7,T7,V7)</f>
        <v>4000</v>
      </c>
      <c r="Y7" s="36">
        <f t="shared" si="6"/>
        <v>3131.17</v>
      </c>
    </row>
    <row r="8" ht="22.5" customHeight="1" outlineLevel="1">
      <c r="A8" s="8" t="s">
        <v>11</v>
      </c>
      <c r="B8" s="33">
        <v>200.0</v>
      </c>
      <c r="C8" s="34">
        <f>sumifs('Expenses Log'!$H:$H,'Expenses Log'!$B:$B, $A8,'Expenses Log'!$M:$M, B$1)</f>
        <v>0</v>
      </c>
      <c r="D8" s="33"/>
      <c r="E8" s="34">
        <f>sumifs('Expenses Log'!$H:$H,'Expenses Log'!$B:$B, $A8,'Expenses Log'!$M:$M, D$1)</f>
        <v>0</v>
      </c>
      <c r="F8" s="33"/>
      <c r="G8" s="34">
        <f>sumifs('Expenses Log'!$H:$H,'Expenses Log'!$B:$B, $A8,'Expenses Log'!$M:$M, F$1)</f>
        <v>0</v>
      </c>
      <c r="H8" s="33">
        <v>200.0</v>
      </c>
      <c r="I8" s="34">
        <f>sumifs('Expenses Log'!$H:$H,'Expenses Log'!$B:$B, $A8,'Expenses Log'!$M:$M, H$1)</f>
        <v>0</v>
      </c>
      <c r="J8" s="33"/>
      <c r="K8" s="34">
        <f>sumifs('Expenses Log'!$H:$H,'Expenses Log'!$B:$B, $A8,'Expenses Log'!$M:$M, J$1)</f>
        <v>0</v>
      </c>
      <c r="L8" s="33">
        <v>200.0</v>
      </c>
      <c r="M8" s="34">
        <f>sumifs('Expenses Log'!$H:$H,'Expenses Log'!$B:$B, $A8,'Expenses Log'!$M:$M, L$1)</f>
        <v>0</v>
      </c>
      <c r="N8" s="33"/>
      <c r="O8" s="34">
        <f>sumifs('Expenses Log'!$H:$H,'Expenses Log'!$B:$B, $A8,'Expenses Log'!$M:$M, N$1)</f>
        <v>-40</v>
      </c>
      <c r="P8" s="33"/>
      <c r="Q8" s="34">
        <f>sumifs('Expenses Log'!$H:$H,'Expenses Log'!$B:$B, $A8,'Expenses Log'!$M:$M, P$1)</f>
        <v>0</v>
      </c>
      <c r="R8" s="33">
        <v>200.0</v>
      </c>
      <c r="S8" s="34">
        <f>sumifs('Expenses Log'!$H:$H,'Expenses Log'!$B:$B, $A8,'Expenses Log'!$M:$M, R$1)</f>
        <v>0</v>
      </c>
      <c r="T8" s="33"/>
      <c r="U8" s="34">
        <f>sumifs('Expenses Log'!$H:$H,'Expenses Log'!$B:$B, $A8,'Expenses Log'!$M:$M, T$1)</f>
        <v>0</v>
      </c>
      <c r="V8" s="33"/>
      <c r="W8" s="34">
        <f>sumifs('Expenses Log'!$H:$H,'Expenses Log'!$B:$B, $A8,'Expenses Log'!$M:$M, V$1)</f>
        <v>0</v>
      </c>
      <c r="X8" s="35">
        <f t="shared" ref="X8:Y8" si="7">sum(B8,D8,F8,H8,J8,L8,N8,P8,R8,T8,V8)</f>
        <v>800</v>
      </c>
      <c r="Y8" s="36">
        <f t="shared" si="7"/>
        <v>-40</v>
      </c>
    </row>
    <row r="9" ht="22.5" customHeight="1">
      <c r="A9" s="13" t="s">
        <v>12</v>
      </c>
      <c r="B9" s="31">
        <f t="shared" ref="B9:Y9" si="8">SUM(B10:B11)</f>
        <v>300</v>
      </c>
      <c r="C9" s="32">
        <f t="shared" si="8"/>
        <v>0</v>
      </c>
      <c r="D9" s="31">
        <f t="shared" si="8"/>
        <v>300</v>
      </c>
      <c r="E9" s="32">
        <f t="shared" si="8"/>
        <v>0</v>
      </c>
      <c r="F9" s="31">
        <f t="shared" si="8"/>
        <v>300</v>
      </c>
      <c r="G9" s="32">
        <f t="shared" si="8"/>
        <v>0</v>
      </c>
      <c r="H9" s="31">
        <f t="shared" si="8"/>
        <v>300</v>
      </c>
      <c r="I9" s="32">
        <f t="shared" si="8"/>
        <v>0</v>
      </c>
      <c r="J9" s="31">
        <f t="shared" si="8"/>
        <v>600</v>
      </c>
      <c r="K9" s="32">
        <f t="shared" si="8"/>
        <v>763.81</v>
      </c>
      <c r="L9" s="31">
        <f t="shared" si="8"/>
        <v>0</v>
      </c>
      <c r="M9" s="32">
        <f t="shared" si="8"/>
        <v>0</v>
      </c>
      <c r="N9" s="31">
        <f t="shared" si="8"/>
        <v>300</v>
      </c>
      <c r="O9" s="32">
        <f t="shared" si="8"/>
        <v>0</v>
      </c>
      <c r="P9" s="31">
        <f t="shared" si="8"/>
        <v>600</v>
      </c>
      <c r="Q9" s="32">
        <f t="shared" si="8"/>
        <v>0</v>
      </c>
      <c r="R9" s="31">
        <f t="shared" si="8"/>
        <v>300</v>
      </c>
      <c r="S9" s="32">
        <f t="shared" si="8"/>
        <v>0</v>
      </c>
      <c r="T9" s="31">
        <f t="shared" si="8"/>
        <v>300</v>
      </c>
      <c r="U9" s="32">
        <f t="shared" si="8"/>
        <v>0</v>
      </c>
      <c r="V9" s="31">
        <f t="shared" si="8"/>
        <v>300</v>
      </c>
      <c r="W9" s="32">
        <f t="shared" si="8"/>
        <v>0</v>
      </c>
      <c r="X9" s="31">
        <f t="shared" si="8"/>
        <v>3600</v>
      </c>
      <c r="Y9" s="32">
        <f t="shared" si="8"/>
        <v>763.81</v>
      </c>
    </row>
    <row r="10" ht="22.5" customHeight="1" outlineLevel="1">
      <c r="A10" s="8" t="s">
        <v>13</v>
      </c>
      <c r="B10" s="33">
        <v>125.0</v>
      </c>
      <c r="C10" s="34">
        <f>sumifs('Expenses Log'!$H:$H,'Expenses Log'!$B:$B, $A10,'Expenses Log'!$M:$M, B$1)</f>
        <v>0</v>
      </c>
      <c r="D10" s="33">
        <v>125.0</v>
      </c>
      <c r="E10" s="34">
        <f>sumifs('Expenses Log'!$H:$H,'Expenses Log'!$B:$B, $A10,'Expenses Log'!$M:$M, D$1)</f>
        <v>0</v>
      </c>
      <c r="F10" s="33">
        <v>125.0</v>
      </c>
      <c r="G10" s="34">
        <f>sumifs('Expenses Log'!$H:$H,'Expenses Log'!$B:$B, $A10,'Expenses Log'!$M:$M, F$1)</f>
        <v>0</v>
      </c>
      <c r="H10" s="33">
        <v>125.0</v>
      </c>
      <c r="I10" s="34">
        <f>sumifs('Expenses Log'!$H:$H,'Expenses Log'!$B:$B, $A10,'Expenses Log'!$M:$M, H$1)</f>
        <v>0</v>
      </c>
      <c r="J10" s="33">
        <v>125.0</v>
      </c>
      <c r="K10" s="34">
        <f>sumifs('Expenses Log'!$H:$H,'Expenses Log'!$B:$B, $A10,'Expenses Log'!$M:$M, J$1)</f>
        <v>363.81</v>
      </c>
      <c r="L10" s="33"/>
      <c r="M10" s="34">
        <f>sumifs('Expenses Log'!$H:$H,'Expenses Log'!$B:$B, $A10,'Expenses Log'!$M:$M, L$1)</f>
        <v>0</v>
      </c>
      <c r="N10" s="33">
        <v>125.0</v>
      </c>
      <c r="O10" s="34">
        <f>sumifs('Expenses Log'!$H:$H,'Expenses Log'!$B:$B, $A10,'Expenses Log'!$M:$M, N$1)</f>
        <v>0</v>
      </c>
      <c r="P10" s="33">
        <v>125.0</v>
      </c>
      <c r="Q10" s="34">
        <f>sumifs('Expenses Log'!$H:$H,'Expenses Log'!$B:$B, $A10,'Expenses Log'!$M:$M, P$1)</f>
        <v>0</v>
      </c>
      <c r="R10" s="33">
        <v>125.0</v>
      </c>
      <c r="S10" s="34">
        <f>sumifs('Expenses Log'!$H:$H,'Expenses Log'!$B:$B, $A10,'Expenses Log'!$M:$M, R$1)</f>
        <v>0</v>
      </c>
      <c r="T10" s="33">
        <v>125.0</v>
      </c>
      <c r="U10" s="34">
        <f>sumifs('Expenses Log'!$H:$H,'Expenses Log'!$B:$B, $A10,'Expenses Log'!$M:$M, T$1)</f>
        <v>0</v>
      </c>
      <c r="V10" s="33">
        <v>125.0</v>
      </c>
      <c r="W10" s="34">
        <f>sumifs('Expenses Log'!$H:$H,'Expenses Log'!$B:$B, $A10,'Expenses Log'!$M:$M, V$1)</f>
        <v>0</v>
      </c>
      <c r="X10" s="35">
        <f t="shared" ref="X10:Y10" si="9">sum(B10,D10,F10,H10,J10,L10,N10,P10,R10,T10,V10)</f>
        <v>1250</v>
      </c>
      <c r="Y10" s="36">
        <f t="shared" si="9"/>
        <v>363.81</v>
      </c>
    </row>
    <row r="11" ht="22.5" customHeight="1" outlineLevel="1">
      <c r="A11" s="8" t="s">
        <v>14</v>
      </c>
      <c r="B11" s="33">
        <v>175.0</v>
      </c>
      <c r="C11" s="34">
        <f>sumifs('Expenses Log'!$H:$H,'Expenses Log'!$B:$B, $A11,'Expenses Log'!$M:$M, B$1)</f>
        <v>0</v>
      </c>
      <c r="D11" s="33">
        <v>175.0</v>
      </c>
      <c r="E11" s="34">
        <f>sumifs('Expenses Log'!$H:$H,'Expenses Log'!$B:$B, $A11,'Expenses Log'!$M:$M, D$1)</f>
        <v>0</v>
      </c>
      <c r="F11" s="33">
        <v>175.0</v>
      </c>
      <c r="G11" s="34">
        <f>sumifs('Expenses Log'!$H:$H,'Expenses Log'!$B:$B, $A11,'Expenses Log'!$M:$M, F$1)</f>
        <v>0</v>
      </c>
      <c r="H11" s="33">
        <v>175.0</v>
      </c>
      <c r="I11" s="34">
        <f>sumifs('Expenses Log'!$H:$H,'Expenses Log'!$B:$B, $A11,'Expenses Log'!$M:$M, H$1)</f>
        <v>0</v>
      </c>
      <c r="J11" s="33">
        <v>475.0</v>
      </c>
      <c r="K11" s="34">
        <f>sumifs('Expenses Log'!$H:$H,'Expenses Log'!$B:$B, $A11,'Expenses Log'!$M:$M, J$1)</f>
        <v>400</v>
      </c>
      <c r="L11" s="33"/>
      <c r="M11" s="34">
        <f>sumifs('Expenses Log'!$H:$H,'Expenses Log'!$B:$B, $A11,'Expenses Log'!$M:$M, L$1)</f>
        <v>0</v>
      </c>
      <c r="N11" s="33">
        <v>175.0</v>
      </c>
      <c r="O11" s="34">
        <f>sumifs('Expenses Log'!$H:$H,'Expenses Log'!$B:$B, $A11,'Expenses Log'!$M:$M, N$1)</f>
        <v>0</v>
      </c>
      <c r="P11" s="33">
        <v>475.0</v>
      </c>
      <c r="Q11" s="34">
        <f>sumifs('Expenses Log'!$H:$H,'Expenses Log'!$B:$B, $A11,'Expenses Log'!$M:$M, P$1)</f>
        <v>0</v>
      </c>
      <c r="R11" s="33">
        <v>175.0</v>
      </c>
      <c r="S11" s="34">
        <f>sumifs('Expenses Log'!$H:$H,'Expenses Log'!$B:$B, $A11,'Expenses Log'!$M:$M, R$1)</f>
        <v>0</v>
      </c>
      <c r="T11" s="33">
        <v>175.0</v>
      </c>
      <c r="U11" s="34">
        <f>sumifs('Expenses Log'!$H:$H,'Expenses Log'!$B:$B, $A11,'Expenses Log'!$M:$M, T$1)</f>
        <v>0</v>
      </c>
      <c r="V11" s="33">
        <v>175.0</v>
      </c>
      <c r="W11" s="34">
        <f>sumifs('Expenses Log'!$H:$H,'Expenses Log'!$B:$B, $A11,'Expenses Log'!$M:$M, V$1)</f>
        <v>0</v>
      </c>
      <c r="X11" s="35">
        <f t="shared" ref="X11:Y11" si="10">sum(B11,D11,F11,H11,J11,L11,N11,P11,R11,T11,V11)</f>
        <v>2350</v>
      </c>
      <c r="Y11" s="36">
        <f t="shared" si="10"/>
        <v>400</v>
      </c>
    </row>
    <row r="12" ht="22.5" customHeight="1">
      <c r="A12" s="13" t="s">
        <v>15</v>
      </c>
      <c r="B12" s="31">
        <f t="shared" ref="B12:Y12" si="11">SUM(B13:B18)</f>
        <v>0</v>
      </c>
      <c r="C12" s="31">
        <f t="shared" si="11"/>
        <v>0</v>
      </c>
      <c r="D12" s="31">
        <f t="shared" si="11"/>
        <v>0</v>
      </c>
      <c r="E12" s="31">
        <f t="shared" si="11"/>
        <v>0</v>
      </c>
      <c r="F12" s="31">
        <f t="shared" si="11"/>
        <v>0</v>
      </c>
      <c r="G12" s="31">
        <f t="shared" si="11"/>
        <v>0</v>
      </c>
      <c r="H12" s="31">
        <f t="shared" si="11"/>
        <v>0</v>
      </c>
      <c r="I12" s="31">
        <f t="shared" si="11"/>
        <v>0</v>
      </c>
      <c r="J12" s="31">
        <f t="shared" si="11"/>
        <v>0</v>
      </c>
      <c r="K12" s="31">
        <f t="shared" si="11"/>
        <v>0</v>
      </c>
      <c r="L12" s="31">
        <f t="shared" si="11"/>
        <v>3300</v>
      </c>
      <c r="M12" s="31">
        <f t="shared" si="11"/>
        <v>3178.92</v>
      </c>
      <c r="N12" s="31">
        <f t="shared" si="11"/>
        <v>0</v>
      </c>
      <c r="O12" s="31">
        <f t="shared" si="11"/>
        <v>0</v>
      </c>
      <c r="P12" s="31">
        <f t="shared" si="11"/>
        <v>0</v>
      </c>
      <c r="Q12" s="31">
        <f t="shared" si="11"/>
        <v>0</v>
      </c>
      <c r="R12" s="31">
        <f t="shared" si="11"/>
        <v>0</v>
      </c>
      <c r="S12" s="31">
        <f t="shared" si="11"/>
        <v>0</v>
      </c>
      <c r="T12" s="31">
        <f t="shared" si="11"/>
        <v>0</v>
      </c>
      <c r="U12" s="31">
        <f t="shared" si="11"/>
        <v>0</v>
      </c>
      <c r="V12" s="31">
        <f t="shared" si="11"/>
        <v>0</v>
      </c>
      <c r="W12" s="31">
        <f t="shared" si="11"/>
        <v>0</v>
      </c>
      <c r="X12" s="31">
        <f t="shared" si="11"/>
        <v>3300</v>
      </c>
      <c r="Y12" s="31">
        <f t="shared" si="11"/>
        <v>3178.92</v>
      </c>
    </row>
    <row r="13" ht="22.5" customHeight="1" outlineLevel="1">
      <c r="A13" s="8" t="s">
        <v>16</v>
      </c>
      <c r="B13" s="37"/>
      <c r="C13" s="34">
        <f>sumifs('Expenses Log'!$H:$H,'Expenses Log'!$B:$B, $A13,'Expenses Log'!$M:$M, B$1)</f>
        <v>0</v>
      </c>
      <c r="D13" s="33"/>
      <c r="E13" s="34">
        <f>sumifs('Expenses Log'!$H:$H,'Expenses Log'!$B:$B, $A13,'Expenses Log'!$M:$M, D$1)</f>
        <v>0</v>
      </c>
      <c r="F13" s="37"/>
      <c r="G13" s="34">
        <f>sumifs('Expenses Log'!$H:$H,'Expenses Log'!$B:$B, $A13,'Expenses Log'!$M:$M, F$1)</f>
        <v>0</v>
      </c>
      <c r="H13" s="37"/>
      <c r="I13" s="34">
        <f>sumifs('Expenses Log'!$H:$H,'Expenses Log'!$B:$B, $A13,'Expenses Log'!$M:$M, H$1)</f>
        <v>0</v>
      </c>
      <c r="J13" s="37"/>
      <c r="K13" s="34">
        <f>sumifs('Expenses Log'!$H:$H,'Expenses Log'!$B:$B, $A13,'Expenses Log'!$M:$M, J$1)</f>
        <v>0</v>
      </c>
      <c r="L13" s="33">
        <v>0.0</v>
      </c>
      <c r="M13" s="34">
        <f>sumifs('Expenses Log'!$H:$H,'Expenses Log'!$B:$B, $A13,'Expenses Log'!$M:$M, L$1)</f>
        <v>100.13</v>
      </c>
      <c r="N13" s="37"/>
      <c r="O13" s="34">
        <f>sumifs('Expenses Log'!$H:$H,'Expenses Log'!$B:$B, $A13,'Expenses Log'!$M:$M, N$1)</f>
        <v>0</v>
      </c>
      <c r="P13" s="37"/>
      <c r="Q13" s="34">
        <f>sumifs('Expenses Log'!$H:$H,'Expenses Log'!$B:$B, $A13,'Expenses Log'!$M:$M, P$1)</f>
        <v>0</v>
      </c>
      <c r="R13" s="37"/>
      <c r="S13" s="34">
        <f>sumifs('Expenses Log'!$H:$H,'Expenses Log'!$B:$B, $A13,'Expenses Log'!$M:$M, R$1)</f>
        <v>0</v>
      </c>
      <c r="T13" s="37"/>
      <c r="U13" s="34">
        <f>sumifs('Expenses Log'!$H:$H,'Expenses Log'!$B:$B, $A13,'Expenses Log'!$M:$M, T$1)</f>
        <v>0</v>
      </c>
      <c r="V13" s="37"/>
      <c r="W13" s="34">
        <f>sumifs('Expenses Log'!$H:$H,'Expenses Log'!$B:$B, $A13,'Expenses Log'!$M:$M, V$1)</f>
        <v>0</v>
      </c>
      <c r="X13" s="35">
        <f t="shared" ref="X13:Y13" si="12">sum(B13,D13,F13,H13,J13,L13,N13,P13,R13,T13,V13)</f>
        <v>0</v>
      </c>
      <c r="Y13" s="36">
        <f t="shared" si="12"/>
        <v>100.13</v>
      </c>
    </row>
    <row r="14" ht="22.5" customHeight="1" outlineLevel="1">
      <c r="A14" s="8" t="s">
        <v>18</v>
      </c>
      <c r="B14" s="37"/>
      <c r="C14" s="34">
        <f>sumifs('Expenses Log'!$H:$H,'Expenses Log'!$B:$B, $A14,'Expenses Log'!$M:$M, B$1)</f>
        <v>0</v>
      </c>
      <c r="D14" s="33"/>
      <c r="E14" s="34">
        <f>sumifs('Expenses Log'!$H:$H,'Expenses Log'!$B:$B, $A14,'Expenses Log'!$M:$M, D$1)</f>
        <v>0</v>
      </c>
      <c r="F14" s="37"/>
      <c r="G14" s="34">
        <f>sumifs('Expenses Log'!$H:$H,'Expenses Log'!$B:$B, $A14,'Expenses Log'!$M:$M, F$1)</f>
        <v>0</v>
      </c>
      <c r="H14" s="37"/>
      <c r="I14" s="34">
        <f>sumifs('Expenses Log'!$H:$H,'Expenses Log'!$B:$B, $A14,'Expenses Log'!$M:$M, H$1)</f>
        <v>0</v>
      </c>
      <c r="J14" s="37"/>
      <c r="K14" s="34">
        <f>sumifs('Expenses Log'!$H:$H,'Expenses Log'!$B:$B, $A14,'Expenses Log'!$M:$M, J$1)</f>
        <v>0</v>
      </c>
      <c r="L14" s="33">
        <v>800.0</v>
      </c>
      <c r="M14" s="34">
        <f>sumifs('Expenses Log'!$H:$H,'Expenses Log'!$B:$B, $A14,'Expenses Log'!$M:$M, L$1)</f>
        <v>490.41</v>
      </c>
      <c r="N14" s="37"/>
      <c r="O14" s="34">
        <f>sumifs('Expenses Log'!$H:$H,'Expenses Log'!$B:$B, $A14,'Expenses Log'!$M:$M, N$1)</f>
        <v>0</v>
      </c>
      <c r="P14" s="37"/>
      <c r="Q14" s="34">
        <f>sumifs('Expenses Log'!$H:$H,'Expenses Log'!$B:$B, $A14,'Expenses Log'!$M:$M, P$1)</f>
        <v>0</v>
      </c>
      <c r="R14" s="37"/>
      <c r="S14" s="34">
        <f>sumifs('Expenses Log'!$H:$H,'Expenses Log'!$B:$B, $A14,'Expenses Log'!$M:$M, R$1)</f>
        <v>0</v>
      </c>
      <c r="T14" s="37"/>
      <c r="U14" s="34">
        <f>sumifs('Expenses Log'!$H:$H,'Expenses Log'!$B:$B, $A14,'Expenses Log'!$M:$M, T$1)</f>
        <v>0</v>
      </c>
      <c r="V14" s="37"/>
      <c r="W14" s="34">
        <f>sumifs('Expenses Log'!$H:$H,'Expenses Log'!$B:$B, $A14,'Expenses Log'!$M:$M, V$1)</f>
        <v>0</v>
      </c>
      <c r="X14" s="35">
        <f t="shared" ref="X14:Y14" si="13">sum(B14,D14,F14,H14,J14,L14,N14,P14,R14,T14,V14)</f>
        <v>800</v>
      </c>
      <c r="Y14" s="36">
        <f t="shared" si="13"/>
        <v>490.41</v>
      </c>
    </row>
    <row r="15" ht="22.5" customHeight="1" outlineLevel="1">
      <c r="A15" s="8" t="s">
        <v>19</v>
      </c>
      <c r="B15" s="37"/>
      <c r="C15" s="34">
        <f>sumifs('Expenses Log'!$H:$H,'Expenses Log'!$B:$B, $A15,'Expenses Log'!$M:$M, B$1)</f>
        <v>0</v>
      </c>
      <c r="D15" s="33"/>
      <c r="E15" s="34">
        <f>sumifs('Expenses Log'!$H:$H,'Expenses Log'!$B:$B, $A15,'Expenses Log'!$M:$M, D$1)</f>
        <v>0</v>
      </c>
      <c r="F15" s="37"/>
      <c r="G15" s="34">
        <f>sumifs('Expenses Log'!$H:$H,'Expenses Log'!$B:$B, $A15,'Expenses Log'!$M:$M, F$1)</f>
        <v>0</v>
      </c>
      <c r="H15" s="37"/>
      <c r="I15" s="34">
        <f>sumifs('Expenses Log'!$H:$H,'Expenses Log'!$B:$B, $A15,'Expenses Log'!$M:$M, H$1)</f>
        <v>0</v>
      </c>
      <c r="J15" s="37"/>
      <c r="K15" s="34">
        <f>sumifs('Expenses Log'!$H:$H,'Expenses Log'!$B:$B, $A15,'Expenses Log'!$M:$M, J$1)</f>
        <v>0</v>
      </c>
      <c r="L15" s="33">
        <v>0.0</v>
      </c>
      <c r="M15" s="34">
        <f>sumifs('Expenses Log'!$H:$H,'Expenses Log'!$B:$B, $A15,'Expenses Log'!$M:$M, L$1)</f>
        <v>0</v>
      </c>
      <c r="N15" s="37"/>
      <c r="O15" s="34">
        <f>sumifs('Expenses Log'!$H:$H,'Expenses Log'!$B:$B, $A15,'Expenses Log'!$M:$M, N$1)</f>
        <v>0</v>
      </c>
      <c r="P15" s="37"/>
      <c r="Q15" s="34">
        <f>sumifs('Expenses Log'!$H:$H,'Expenses Log'!$B:$B, $A15,'Expenses Log'!$M:$M, P$1)</f>
        <v>0</v>
      </c>
      <c r="R15" s="37"/>
      <c r="S15" s="34">
        <f>sumifs('Expenses Log'!$H:$H,'Expenses Log'!$B:$B, $A15,'Expenses Log'!$M:$M, R$1)</f>
        <v>0</v>
      </c>
      <c r="T15" s="37"/>
      <c r="U15" s="34">
        <f>sumifs('Expenses Log'!$H:$H,'Expenses Log'!$B:$B, $A15,'Expenses Log'!$M:$M, T$1)</f>
        <v>0</v>
      </c>
      <c r="V15" s="37"/>
      <c r="W15" s="34">
        <f>sumifs('Expenses Log'!$H:$H,'Expenses Log'!$B:$B, $A15,'Expenses Log'!$M:$M, V$1)</f>
        <v>0</v>
      </c>
      <c r="X15" s="35">
        <f t="shared" ref="X15:Y15" si="14">sum(B15,D15,F15,H15,J15,L15,N15,P15,R15,T15,V15)</f>
        <v>0</v>
      </c>
      <c r="Y15" s="36">
        <f t="shared" si="14"/>
        <v>0</v>
      </c>
    </row>
    <row r="16" ht="22.5" customHeight="1" outlineLevel="1">
      <c r="A16" s="8" t="s">
        <v>20</v>
      </c>
      <c r="B16" s="37"/>
      <c r="C16" s="34">
        <f>sumifs('Expenses Log'!$H:$H,'Expenses Log'!$B:$B, $A16,'Expenses Log'!$M:$M, B$1)</f>
        <v>0</v>
      </c>
      <c r="D16" s="33"/>
      <c r="E16" s="34">
        <f>sumifs('Expenses Log'!$H:$H,'Expenses Log'!$B:$B, $A16,'Expenses Log'!$M:$M, D$1)</f>
        <v>0</v>
      </c>
      <c r="F16" s="37"/>
      <c r="G16" s="34">
        <f>sumifs('Expenses Log'!$H:$H,'Expenses Log'!$B:$B, $A16,'Expenses Log'!$M:$M, F$1)</f>
        <v>0</v>
      </c>
      <c r="H16" s="37"/>
      <c r="I16" s="34">
        <f>sumifs('Expenses Log'!$H:$H,'Expenses Log'!$B:$B, $A16,'Expenses Log'!$M:$M, H$1)</f>
        <v>0</v>
      </c>
      <c r="J16" s="37"/>
      <c r="K16" s="34">
        <f>sumifs('Expenses Log'!$H:$H,'Expenses Log'!$B:$B, $A16,'Expenses Log'!$M:$M, J$1)</f>
        <v>0</v>
      </c>
      <c r="L16" s="33">
        <v>500.0</v>
      </c>
      <c r="M16" s="34">
        <f>sumifs('Expenses Log'!$H:$H,'Expenses Log'!$B:$B, $A16,'Expenses Log'!$M:$M, L$1)</f>
        <v>424.29</v>
      </c>
      <c r="N16" s="37"/>
      <c r="O16" s="34">
        <f>sumifs('Expenses Log'!$H:$H,'Expenses Log'!$B:$B, $A16,'Expenses Log'!$M:$M, N$1)</f>
        <v>0</v>
      </c>
      <c r="P16" s="37"/>
      <c r="Q16" s="34">
        <f>sumifs('Expenses Log'!$H:$H,'Expenses Log'!$B:$B, $A16,'Expenses Log'!$M:$M, P$1)</f>
        <v>0</v>
      </c>
      <c r="R16" s="37"/>
      <c r="S16" s="34">
        <f>sumifs('Expenses Log'!$H:$H,'Expenses Log'!$B:$B, $A16,'Expenses Log'!$M:$M, R$1)</f>
        <v>0</v>
      </c>
      <c r="T16" s="37"/>
      <c r="U16" s="34">
        <f>sumifs('Expenses Log'!$H:$H,'Expenses Log'!$B:$B, $A16,'Expenses Log'!$M:$M, T$1)</f>
        <v>0</v>
      </c>
      <c r="V16" s="37"/>
      <c r="W16" s="34">
        <f>sumifs('Expenses Log'!$H:$H,'Expenses Log'!$B:$B, $A16,'Expenses Log'!$M:$M, V$1)</f>
        <v>0</v>
      </c>
      <c r="X16" s="35">
        <f t="shared" ref="X16:Y16" si="15">sum(B16,D16,F16,H16,J16,L16,N16,P16,R16,T16,V16)</f>
        <v>500</v>
      </c>
      <c r="Y16" s="36">
        <f t="shared" si="15"/>
        <v>424.29</v>
      </c>
    </row>
    <row r="17" ht="22.5" customHeight="1" outlineLevel="1">
      <c r="A17" s="8" t="s">
        <v>21</v>
      </c>
      <c r="B17" s="37"/>
      <c r="C17" s="34">
        <f>sumifs('Expenses Log'!$H:$H,'Expenses Log'!$B:$B, $A17,'Expenses Log'!$M:$M, B$1)</f>
        <v>0</v>
      </c>
      <c r="D17" s="33"/>
      <c r="E17" s="34">
        <f>sumifs('Expenses Log'!$H:$H,'Expenses Log'!$B:$B, $A17,'Expenses Log'!$M:$M, D$1)</f>
        <v>0</v>
      </c>
      <c r="F17" s="37"/>
      <c r="G17" s="34">
        <f>sumifs('Expenses Log'!$H:$H,'Expenses Log'!$B:$B, $A17,'Expenses Log'!$M:$M, F$1)</f>
        <v>0</v>
      </c>
      <c r="H17" s="37"/>
      <c r="I17" s="34">
        <f>sumifs('Expenses Log'!$H:$H,'Expenses Log'!$B:$B, $A17,'Expenses Log'!$M:$M, H$1)</f>
        <v>0</v>
      </c>
      <c r="J17" s="37"/>
      <c r="K17" s="34">
        <f>sumifs('Expenses Log'!$H:$H,'Expenses Log'!$B:$B, $A17,'Expenses Log'!$M:$M, J$1)</f>
        <v>0</v>
      </c>
      <c r="L17" s="33">
        <v>1000.0</v>
      </c>
      <c r="M17" s="34">
        <f>sumifs('Expenses Log'!$H:$H,'Expenses Log'!$B:$B, $A17,'Expenses Log'!$M:$M, L$1)</f>
        <v>1071.7</v>
      </c>
      <c r="N17" s="37"/>
      <c r="O17" s="34">
        <f>sumifs('Expenses Log'!$H:$H,'Expenses Log'!$B:$B, $A17,'Expenses Log'!$M:$M, N$1)</f>
        <v>0</v>
      </c>
      <c r="P17" s="37"/>
      <c r="Q17" s="34">
        <f>sumifs('Expenses Log'!$H:$H,'Expenses Log'!$B:$B, $A17,'Expenses Log'!$M:$M, P$1)</f>
        <v>0</v>
      </c>
      <c r="R17" s="37"/>
      <c r="S17" s="34">
        <f>sumifs('Expenses Log'!$H:$H,'Expenses Log'!$B:$B, $A17,'Expenses Log'!$M:$M, R$1)</f>
        <v>0</v>
      </c>
      <c r="T17" s="37"/>
      <c r="U17" s="34">
        <f>sumifs('Expenses Log'!$H:$H,'Expenses Log'!$B:$B, $A17,'Expenses Log'!$M:$M, T$1)</f>
        <v>0</v>
      </c>
      <c r="V17" s="37"/>
      <c r="W17" s="34">
        <f>sumifs('Expenses Log'!$H:$H,'Expenses Log'!$B:$B, $A17,'Expenses Log'!$M:$M, V$1)</f>
        <v>0</v>
      </c>
      <c r="X17" s="35">
        <f t="shared" ref="X17:Y17" si="16">sum(B17,D17,F17,H17,J17,L17,N17,P17,R17,T17,V17)</f>
        <v>1000</v>
      </c>
      <c r="Y17" s="36">
        <f t="shared" si="16"/>
        <v>1071.7</v>
      </c>
    </row>
    <row r="18" ht="22.5" customHeight="1" outlineLevel="1">
      <c r="A18" s="8" t="s">
        <v>22</v>
      </c>
      <c r="B18" s="37"/>
      <c r="C18" s="34">
        <f>sumifs('Expenses Log'!$H:$H,'Expenses Log'!$B:$B, $A18,'Expenses Log'!$M:$M, B$1)</f>
        <v>0</v>
      </c>
      <c r="D18" s="33"/>
      <c r="E18" s="34">
        <f>sumifs('Expenses Log'!$H:$H,'Expenses Log'!$B:$B, $A18,'Expenses Log'!$M:$M, D$1)</f>
        <v>0</v>
      </c>
      <c r="F18" s="37"/>
      <c r="G18" s="34">
        <f>sumifs('Expenses Log'!$H:$H,'Expenses Log'!$B:$B, $A18,'Expenses Log'!$M:$M, F$1)</f>
        <v>0</v>
      </c>
      <c r="H18" s="37"/>
      <c r="I18" s="34">
        <f>sumifs('Expenses Log'!$H:$H,'Expenses Log'!$B:$B, $A18,'Expenses Log'!$M:$M, H$1)</f>
        <v>0</v>
      </c>
      <c r="J18" s="37"/>
      <c r="K18" s="34">
        <f>sumifs('Expenses Log'!$H:$H,'Expenses Log'!$B:$B, $A18,'Expenses Log'!$M:$M, J$1)</f>
        <v>0</v>
      </c>
      <c r="L18" s="33">
        <v>1000.0</v>
      </c>
      <c r="M18" s="34">
        <f>sumifs('Expenses Log'!$H:$H,'Expenses Log'!$B:$B, $A18,'Expenses Log'!$M:$M, L$1)</f>
        <v>1092.39</v>
      </c>
      <c r="N18" s="37"/>
      <c r="O18" s="34">
        <f>sumifs('Expenses Log'!$H:$H,'Expenses Log'!$B:$B, $A18,'Expenses Log'!$M:$M, N$1)</f>
        <v>0</v>
      </c>
      <c r="P18" s="37"/>
      <c r="Q18" s="34">
        <f>sumifs('Expenses Log'!$H:$H,'Expenses Log'!$B:$B, $A18,'Expenses Log'!$M:$M, P$1)</f>
        <v>0</v>
      </c>
      <c r="R18" s="37"/>
      <c r="S18" s="34">
        <f>sumifs('Expenses Log'!$H:$H,'Expenses Log'!$B:$B, $A18,'Expenses Log'!$M:$M, R$1)</f>
        <v>0</v>
      </c>
      <c r="T18" s="37"/>
      <c r="U18" s="34">
        <f>sumifs('Expenses Log'!$H:$H,'Expenses Log'!$B:$B, $A18,'Expenses Log'!$M:$M, T$1)</f>
        <v>0</v>
      </c>
      <c r="V18" s="37"/>
      <c r="W18" s="34">
        <f>sumifs('Expenses Log'!$H:$H,'Expenses Log'!$B:$B, $A18,'Expenses Log'!$M:$M, V$1)</f>
        <v>0</v>
      </c>
      <c r="X18" s="35">
        <f t="shared" ref="X18:Y18" si="17">sum(B18,D18,F18,H18,J18,L18,N18,P18,R18,T18,V18)</f>
        <v>1000</v>
      </c>
      <c r="Y18" s="36">
        <f t="shared" si="17"/>
        <v>1092.39</v>
      </c>
    </row>
    <row r="19" ht="22.5" customHeight="1">
      <c r="A19" s="13" t="s">
        <v>23</v>
      </c>
      <c r="B19" s="31">
        <f t="shared" ref="B19:W19" si="18">SUM(B20:B21)</f>
        <v>0</v>
      </c>
      <c r="C19" s="31">
        <f t="shared" si="18"/>
        <v>3000</v>
      </c>
      <c r="D19" s="31">
        <f t="shared" si="18"/>
        <v>0</v>
      </c>
      <c r="E19" s="31">
        <f t="shared" si="18"/>
        <v>0</v>
      </c>
      <c r="F19" s="31">
        <f t="shared" si="18"/>
        <v>0</v>
      </c>
      <c r="G19" s="31">
        <f t="shared" si="18"/>
        <v>0</v>
      </c>
      <c r="H19" s="31">
        <f t="shared" si="18"/>
        <v>0</v>
      </c>
      <c r="I19" s="31">
        <f t="shared" si="18"/>
        <v>0</v>
      </c>
      <c r="J19" s="31">
        <f t="shared" si="18"/>
        <v>0</v>
      </c>
      <c r="K19" s="31">
        <f t="shared" si="18"/>
        <v>0</v>
      </c>
      <c r="L19" s="31">
        <f t="shared" si="18"/>
        <v>0</v>
      </c>
      <c r="M19" s="31">
        <f t="shared" si="18"/>
        <v>0</v>
      </c>
      <c r="N19" s="31">
        <f t="shared" si="18"/>
        <v>0</v>
      </c>
      <c r="O19" s="31">
        <f t="shared" si="18"/>
        <v>0</v>
      </c>
      <c r="P19" s="31">
        <f t="shared" si="18"/>
        <v>0</v>
      </c>
      <c r="Q19" s="31">
        <f t="shared" si="18"/>
        <v>0</v>
      </c>
      <c r="R19" s="31">
        <f t="shared" si="18"/>
        <v>2500</v>
      </c>
      <c r="S19" s="31">
        <f t="shared" si="18"/>
        <v>0</v>
      </c>
      <c r="T19" s="31">
        <f t="shared" si="18"/>
        <v>0</v>
      </c>
      <c r="U19" s="31">
        <f t="shared" si="18"/>
        <v>0</v>
      </c>
      <c r="V19" s="31">
        <f t="shared" si="18"/>
        <v>0</v>
      </c>
      <c r="W19" s="31">
        <f t="shared" si="18"/>
        <v>0</v>
      </c>
      <c r="X19" s="31">
        <f t="shared" ref="X19:Y19" si="19">sum(X20,X21)</f>
        <v>2500</v>
      </c>
      <c r="Y19" s="31">
        <f t="shared" si="19"/>
        <v>3000</v>
      </c>
    </row>
    <row r="20" ht="22.5" customHeight="1">
      <c r="A20" s="8" t="s">
        <v>24</v>
      </c>
      <c r="B20" s="37"/>
      <c r="C20" s="34">
        <f>sumifs('Expenses Log'!$H:$H,'Expenses Log'!$B:$B, $A20,'Expenses Log'!$M:$M, B$1)</f>
        <v>0</v>
      </c>
      <c r="D20" s="33"/>
      <c r="E20" s="34">
        <f>sumifs('Expenses Log'!$H:$H,'Expenses Log'!$B:$B, $A20,'Expenses Log'!$M:$M, D$1)</f>
        <v>0</v>
      </c>
      <c r="F20" s="37"/>
      <c r="G20" s="34">
        <f>sumifs('Expenses Log'!$H:$H,'Expenses Log'!$B:$B, $A20,'Expenses Log'!$M:$M, F$1)</f>
        <v>0</v>
      </c>
      <c r="H20" s="37"/>
      <c r="I20" s="34">
        <f>sumifs('Expenses Log'!$H:$H,'Expenses Log'!$B:$B, $A20,'Expenses Log'!$M:$M, H$1)</f>
        <v>0</v>
      </c>
      <c r="J20" s="37"/>
      <c r="K20" s="34">
        <f>sumifs('Expenses Log'!$H:$H,'Expenses Log'!$B:$B, $A20,'Expenses Log'!$M:$M, J$1)</f>
        <v>0</v>
      </c>
      <c r="L20" s="37"/>
      <c r="M20" s="34">
        <f>sumifs('Expenses Log'!$H:$H,'Expenses Log'!$B:$B, $A20,'Expenses Log'!$M:$M, L$1)</f>
        <v>0</v>
      </c>
      <c r="N20" s="37"/>
      <c r="O20" s="34">
        <f>sumifs('Expenses Log'!$H:$H,'Expenses Log'!$B:$B, $A20,'Expenses Log'!$M:$M, N$1)</f>
        <v>0</v>
      </c>
      <c r="P20" s="37"/>
      <c r="Q20" s="34">
        <f>sumifs('Expenses Log'!$H:$H,'Expenses Log'!$B:$B, $A20,'Expenses Log'!$M:$M, P$1)</f>
        <v>0</v>
      </c>
      <c r="R20" s="33">
        <v>2500.0</v>
      </c>
      <c r="S20" s="34">
        <f>sumifs('Expenses Log'!$H:$H,'Expenses Log'!$B:$B, $A20,'Expenses Log'!$M:$M, R$1)</f>
        <v>0</v>
      </c>
      <c r="T20" s="37"/>
      <c r="U20" s="34">
        <f>sumifs('Expenses Log'!$H:$H,'Expenses Log'!$B:$B, $A20,'Expenses Log'!$M:$M, T$1)</f>
        <v>0</v>
      </c>
      <c r="V20" s="37"/>
      <c r="W20" s="34">
        <f>sumifs('Expenses Log'!$H:$H,'Expenses Log'!$B:$B, $A20,'Expenses Log'!$M:$M, V$1)</f>
        <v>0</v>
      </c>
      <c r="X20" s="35">
        <f t="shared" ref="X20:Y20" si="20">sum(B20,D20,F20,H20,J20,L20,N20,P20,R20,T20,V20)</f>
        <v>2500</v>
      </c>
      <c r="Y20" s="36">
        <f t="shared" si="20"/>
        <v>0</v>
      </c>
    </row>
    <row r="21" ht="22.5" customHeight="1">
      <c r="A21" s="8" t="s">
        <v>25</v>
      </c>
      <c r="B21" s="33"/>
      <c r="C21" s="34">
        <v>3000.0</v>
      </c>
      <c r="D21" s="33"/>
      <c r="E21" s="34"/>
      <c r="F21" s="37"/>
      <c r="G21" s="34"/>
      <c r="H21" s="37"/>
      <c r="I21" s="34"/>
      <c r="J21" s="37"/>
      <c r="K21" s="34"/>
      <c r="L21" s="37"/>
      <c r="M21" s="34"/>
      <c r="N21" s="37"/>
      <c r="O21" s="34"/>
      <c r="P21" s="37"/>
      <c r="Q21" s="34"/>
      <c r="R21" s="33"/>
      <c r="S21" s="34"/>
      <c r="T21" s="37"/>
      <c r="U21" s="34"/>
      <c r="V21" s="37"/>
      <c r="W21" s="34"/>
      <c r="X21" s="35">
        <f t="shared" ref="X21:Y21" si="21">sum(B21,D21,F21,H21,J21,L21,N21,P21,R21,T21,V21)</f>
        <v>0</v>
      </c>
      <c r="Y21" s="36">
        <f t="shared" si="21"/>
        <v>3000</v>
      </c>
    </row>
    <row r="22" ht="22.5" customHeight="1">
      <c r="A22" s="38" t="s">
        <v>26</v>
      </c>
      <c r="B22" s="39">
        <f t="shared" ref="B22:Y22" si="22">sum(B3,B6,B9,B12,B19)</f>
        <v>815</v>
      </c>
      <c r="C22" s="40">
        <f t="shared" si="22"/>
        <v>3000</v>
      </c>
      <c r="D22" s="39">
        <f t="shared" si="22"/>
        <v>335</v>
      </c>
      <c r="E22" s="40">
        <f t="shared" si="22"/>
        <v>0</v>
      </c>
      <c r="F22" s="39">
        <f t="shared" si="22"/>
        <v>335</v>
      </c>
      <c r="G22" s="40">
        <f t="shared" si="22"/>
        <v>0</v>
      </c>
      <c r="H22" s="39">
        <f t="shared" si="22"/>
        <v>535</v>
      </c>
      <c r="I22" s="40">
        <f t="shared" si="22"/>
        <v>0</v>
      </c>
      <c r="J22" s="39">
        <f t="shared" si="22"/>
        <v>2635</v>
      </c>
      <c r="K22" s="40">
        <f t="shared" si="22"/>
        <v>2597.98</v>
      </c>
      <c r="L22" s="39">
        <f t="shared" si="22"/>
        <v>3570</v>
      </c>
      <c r="M22" s="40">
        <f t="shared" si="22"/>
        <v>3178.92</v>
      </c>
      <c r="N22" s="39">
        <f t="shared" si="22"/>
        <v>335</v>
      </c>
      <c r="O22" s="40">
        <f t="shared" si="22"/>
        <v>710</v>
      </c>
      <c r="P22" s="39">
        <f t="shared" si="22"/>
        <v>2635</v>
      </c>
      <c r="Q22" s="40">
        <f t="shared" si="22"/>
        <v>750</v>
      </c>
      <c r="R22" s="39">
        <f t="shared" si="22"/>
        <v>3035</v>
      </c>
      <c r="S22" s="40">
        <f t="shared" si="22"/>
        <v>0</v>
      </c>
      <c r="T22" s="39">
        <f t="shared" si="22"/>
        <v>335</v>
      </c>
      <c r="U22" s="40">
        <f t="shared" si="22"/>
        <v>0</v>
      </c>
      <c r="V22" s="39">
        <f t="shared" si="22"/>
        <v>335</v>
      </c>
      <c r="W22" s="40">
        <f t="shared" si="22"/>
        <v>0</v>
      </c>
      <c r="X22" s="39">
        <f t="shared" si="22"/>
        <v>14900</v>
      </c>
      <c r="Y22" s="40">
        <f t="shared" si="22"/>
        <v>10236.9</v>
      </c>
    </row>
  </sheetData>
  <mergeCells count="1">
    <mergeCell ref="X1:Y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5.13"/>
  </cols>
  <sheetData>
    <row r="1" ht="22.5" customHeight="1">
      <c r="A1" s="41" t="s">
        <v>42</v>
      </c>
      <c r="B1" s="41" t="s">
        <v>43</v>
      </c>
      <c r="C1" s="41" t="s">
        <v>44</v>
      </c>
      <c r="D1" s="42" t="s">
        <v>45</v>
      </c>
      <c r="E1" s="41" t="s">
        <v>46</v>
      </c>
      <c r="F1" s="41" t="s">
        <v>47</v>
      </c>
      <c r="G1" s="41" t="s">
        <v>48</v>
      </c>
      <c r="H1" s="42" t="s">
        <v>49</v>
      </c>
      <c r="I1" s="41" t="s">
        <v>50</v>
      </c>
      <c r="J1" s="41" t="s">
        <v>51</v>
      </c>
      <c r="K1" s="43" t="s">
        <v>52</v>
      </c>
      <c r="L1" s="43" t="s">
        <v>5</v>
      </c>
      <c r="M1" s="41" t="s">
        <v>53</v>
      </c>
    </row>
    <row r="2" ht="22.5" customHeight="1">
      <c r="A2" s="44">
        <v>46003.0</v>
      </c>
      <c r="B2" s="45" t="s">
        <v>13</v>
      </c>
      <c r="C2" s="46" t="s">
        <v>54</v>
      </c>
      <c r="D2" s="47" t="s">
        <v>55</v>
      </c>
      <c r="E2" s="47" t="s">
        <v>56</v>
      </c>
      <c r="F2" s="48">
        <f>3.99+13.89</f>
        <v>17.88</v>
      </c>
      <c r="G2" s="48">
        <v>17.880000000000003</v>
      </c>
      <c r="H2" s="49">
        <f t="shared" ref="H2:H81" si="1">F2-G2</f>
        <v>0</v>
      </c>
      <c r="I2" s="50" t="s">
        <v>57</v>
      </c>
      <c r="J2" s="51" t="s">
        <v>58</v>
      </c>
      <c r="K2" s="52"/>
      <c r="L2" s="52"/>
      <c r="M2" s="45" t="s">
        <v>30</v>
      </c>
    </row>
    <row r="3" ht="22.5" customHeight="1">
      <c r="A3" s="44">
        <v>46003.0</v>
      </c>
      <c r="B3" s="45" t="s">
        <v>13</v>
      </c>
      <c r="C3" s="53" t="s">
        <v>59</v>
      </c>
      <c r="D3" s="54" t="s">
        <v>55</v>
      </c>
      <c r="E3" s="54" t="s">
        <v>60</v>
      </c>
      <c r="F3" s="55">
        <v>22.99</v>
      </c>
      <c r="G3" s="55">
        <v>22.99</v>
      </c>
      <c r="H3" s="56">
        <f t="shared" si="1"/>
        <v>0</v>
      </c>
      <c r="I3" s="57" t="s">
        <v>57</v>
      </c>
      <c r="J3" s="58" t="s">
        <v>58</v>
      </c>
      <c r="K3" s="59"/>
      <c r="L3" s="52"/>
      <c r="M3" s="45" t="s">
        <v>30</v>
      </c>
    </row>
    <row r="4" ht="22.5" customHeight="1">
      <c r="A4" s="44">
        <v>46003.0</v>
      </c>
      <c r="B4" s="45" t="s">
        <v>13</v>
      </c>
      <c r="C4" s="46" t="s">
        <v>54</v>
      </c>
      <c r="D4" s="60" t="s">
        <v>55</v>
      </c>
      <c r="E4" s="60" t="s">
        <v>61</v>
      </c>
      <c r="F4" s="61">
        <v>139.3</v>
      </c>
      <c r="G4" s="61">
        <v>139.3</v>
      </c>
      <c r="H4" s="62">
        <f t="shared" si="1"/>
        <v>0</v>
      </c>
      <c r="I4" s="63" t="s">
        <v>57</v>
      </c>
      <c r="J4" s="51" t="s">
        <v>58</v>
      </c>
      <c r="K4" s="64"/>
      <c r="L4" s="52"/>
      <c r="M4" s="45" t="s">
        <v>30</v>
      </c>
    </row>
    <row r="5" ht="22.5" customHeight="1">
      <c r="A5" s="65">
        <v>46023.0</v>
      </c>
      <c r="B5" s="45" t="s">
        <v>10</v>
      </c>
      <c r="C5" s="66" t="s">
        <v>62</v>
      </c>
      <c r="D5" s="60" t="s">
        <v>63</v>
      </c>
      <c r="E5" s="60" t="s">
        <v>64</v>
      </c>
      <c r="F5" s="61">
        <v>460.31</v>
      </c>
      <c r="G5" s="61">
        <v>153.43</v>
      </c>
      <c r="H5" s="62">
        <f t="shared" si="1"/>
        <v>306.88</v>
      </c>
      <c r="I5" s="63" t="s">
        <v>65</v>
      </c>
      <c r="J5" s="51" t="s">
        <v>66</v>
      </c>
      <c r="K5" s="67" t="s">
        <v>67</v>
      </c>
      <c r="L5" s="52" t="s">
        <v>68</v>
      </c>
      <c r="M5" s="68" t="s">
        <v>31</v>
      </c>
    </row>
    <row r="6" ht="22.5" customHeight="1">
      <c r="A6" s="69">
        <v>46029.0</v>
      </c>
      <c r="B6" s="45" t="s">
        <v>10</v>
      </c>
      <c r="C6" s="70" t="s">
        <v>69</v>
      </c>
      <c r="D6" s="71" t="s">
        <v>70</v>
      </c>
      <c r="E6" s="71" t="s">
        <v>71</v>
      </c>
      <c r="F6" s="72">
        <v>244.29</v>
      </c>
      <c r="G6" s="72">
        <v>0.0</v>
      </c>
      <c r="H6" s="73">
        <f t="shared" si="1"/>
        <v>244.29</v>
      </c>
      <c r="I6" s="74" t="s">
        <v>65</v>
      </c>
      <c r="J6" s="51" t="s">
        <v>66</v>
      </c>
      <c r="K6" s="75" t="s">
        <v>72</v>
      </c>
      <c r="L6" s="52"/>
      <c r="M6" s="68" t="s">
        <v>31</v>
      </c>
    </row>
    <row r="7" ht="22.5" customHeight="1">
      <c r="A7" s="65">
        <v>46035.0</v>
      </c>
      <c r="B7" s="45" t="s">
        <v>13</v>
      </c>
      <c r="C7" s="76" t="s">
        <v>54</v>
      </c>
      <c r="D7" s="60" t="s">
        <v>73</v>
      </c>
      <c r="E7" s="60" t="s">
        <v>74</v>
      </c>
      <c r="F7" s="61">
        <v>125.0</v>
      </c>
      <c r="G7" s="61">
        <v>0.0</v>
      </c>
      <c r="H7" s="62">
        <f t="shared" si="1"/>
        <v>125</v>
      </c>
      <c r="I7" s="63" t="s">
        <v>57</v>
      </c>
      <c r="J7" s="51" t="s">
        <v>66</v>
      </c>
      <c r="K7" s="67" t="s">
        <v>75</v>
      </c>
      <c r="L7" s="52"/>
      <c r="M7" s="68" t="s">
        <v>31</v>
      </c>
    </row>
    <row r="8" ht="22.5" customHeight="1">
      <c r="A8" s="69">
        <v>46038.0</v>
      </c>
      <c r="B8" s="45" t="s">
        <v>13</v>
      </c>
      <c r="C8" s="77" t="s">
        <v>76</v>
      </c>
      <c r="D8" s="71" t="s">
        <v>77</v>
      </c>
      <c r="E8" s="71" t="s">
        <v>78</v>
      </c>
      <c r="F8" s="72">
        <v>21.16</v>
      </c>
      <c r="G8" s="72">
        <v>0.0</v>
      </c>
      <c r="H8" s="73">
        <f t="shared" si="1"/>
        <v>21.16</v>
      </c>
      <c r="I8" s="78" t="s">
        <v>79</v>
      </c>
      <c r="J8" s="51" t="s">
        <v>66</v>
      </c>
      <c r="K8" s="75" t="s">
        <v>80</v>
      </c>
      <c r="L8" s="52"/>
      <c r="M8" s="68" t="s">
        <v>31</v>
      </c>
    </row>
    <row r="9" ht="22.5" customHeight="1">
      <c r="A9" s="65">
        <v>46039.0</v>
      </c>
      <c r="B9" s="45" t="s">
        <v>13</v>
      </c>
      <c r="C9" s="76" t="s">
        <v>54</v>
      </c>
      <c r="D9" s="60" t="s">
        <v>55</v>
      </c>
      <c r="E9" s="60" t="s">
        <v>81</v>
      </c>
      <c r="F9" s="61">
        <v>69.65</v>
      </c>
      <c r="G9" s="61">
        <v>0.0</v>
      </c>
      <c r="H9" s="62">
        <f t="shared" si="1"/>
        <v>69.65</v>
      </c>
      <c r="I9" s="63" t="s">
        <v>57</v>
      </c>
      <c r="J9" s="51" t="s">
        <v>66</v>
      </c>
      <c r="K9" s="67" t="s">
        <v>82</v>
      </c>
      <c r="L9" s="52"/>
      <c r="M9" s="68" t="s">
        <v>31</v>
      </c>
    </row>
    <row r="10" ht="22.5" customHeight="1">
      <c r="A10" s="69">
        <v>46039.0</v>
      </c>
      <c r="B10" s="45" t="s">
        <v>13</v>
      </c>
      <c r="C10" s="79" t="s">
        <v>54</v>
      </c>
      <c r="D10" s="71" t="s">
        <v>83</v>
      </c>
      <c r="E10" s="71" t="s">
        <v>84</v>
      </c>
      <c r="F10" s="72">
        <v>120.0</v>
      </c>
      <c r="G10" s="72">
        <v>0.0</v>
      </c>
      <c r="H10" s="73">
        <f t="shared" si="1"/>
        <v>120</v>
      </c>
      <c r="I10" s="74" t="s">
        <v>57</v>
      </c>
      <c r="J10" s="51" t="s">
        <v>66</v>
      </c>
      <c r="K10" s="75" t="s">
        <v>85</v>
      </c>
      <c r="L10" s="52"/>
      <c r="M10" s="68" t="s">
        <v>31</v>
      </c>
    </row>
    <row r="11" ht="22.5" customHeight="1">
      <c r="A11" s="65">
        <v>46039.0</v>
      </c>
      <c r="B11" s="45" t="s">
        <v>13</v>
      </c>
      <c r="C11" s="76" t="s">
        <v>54</v>
      </c>
      <c r="D11" s="60" t="s">
        <v>73</v>
      </c>
      <c r="E11" s="60" t="s">
        <v>86</v>
      </c>
      <c r="F11" s="61">
        <v>28.0</v>
      </c>
      <c r="G11" s="61">
        <v>0.0</v>
      </c>
      <c r="H11" s="62">
        <f t="shared" si="1"/>
        <v>28</v>
      </c>
      <c r="I11" s="63" t="s">
        <v>57</v>
      </c>
      <c r="J11" s="51" t="s">
        <v>66</v>
      </c>
      <c r="K11" s="67" t="s">
        <v>87</v>
      </c>
      <c r="L11" s="52"/>
      <c r="M11" s="68" t="s">
        <v>31</v>
      </c>
    </row>
    <row r="12" ht="22.5" customHeight="1">
      <c r="A12" s="69">
        <v>46039.0</v>
      </c>
      <c r="B12" s="45" t="s">
        <v>14</v>
      </c>
      <c r="C12" s="79" t="s">
        <v>54</v>
      </c>
      <c r="D12" s="71" t="s">
        <v>88</v>
      </c>
      <c r="E12" s="71" t="s">
        <v>89</v>
      </c>
      <c r="F12" s="72">
        <v>400.0</v>
      </c>
      <c r="G12" s="72">
        <v>0.0</v>
      </c>
      <c r="H12" s="73">
        <f t="shared" si="1"/>
        <v>400</v>
      </c>
      <c r="I12" s="74" t="s">
        <v>88</v>
      </c>
      <c r="J12" s="51" t="s">
        <v>66</v>
      </c>
      <c r="K12" s="80"/>
      <c r="L12" s="52" t="s">
        <v>90</v>
      </c>
      <c r="M12" s="68" t="s">
        <v>31</v>
      </c>
    </row>
    <row r="13" ht="22.5" customHeight="1">
      <c r="A13" s="65">
        <v>46039.0</v>
      </c>
      <c r="B13" s="45" t="s">
        <v>10</v>
      </c>
      <c r="C13" s="46" t="s">
        <v>91</v>
      </c>
      <c r="D13" s="60" t="s">
        <v>92</v>
      </c>
      <c r="E13" s="60" t="s">
        <v>93</v>
      </c>
      <c r="F13" s="61">
        <v>40.0</v>
      </c>
      <c r="G13" s="61">
        <v>0.0</v>
      </c>
      <c r="H13" s="62">
        <f t="shared" si="1"/>
        <v>40</v>
      </c>
      <c r="I13" s="81" t="s">
        <v>94</v>
      </c>
      <c r="J13" s="51" t="s">
        <v>66</v>
      </c>
      <c r="K13" s="67" t="s">
        <v>95</v>
      </c>
      <c r="L13" s="52"/>
      <c r="M13" s="68" t="s">
        <v>31</v>
      </c>
    </row>
    <row r="14" ht="22.5" customHeight="1">
      <c r="A14" s="69">
        <v>46040.0</v>
      </c>
      <c r="B14" s="45" t="s">
        <v>10</v>
      </c>
      <c r="C14" s="70" t="s">
        <v>69</v>
      </c>
      <c r="D14" s="71" t="s">
        <v>70</v>
      </c>
      <c r="E14" s="71" t="s">
        <v>96</v>
      </c>
      <c r="F14" s="72">
        <v>40.0</v>
      </c>
      <c r="G14" s="72">
        <v>0.0</v>
      </c>
      <c r="H14" s="73">
        <f t="shared" si="1"/>
        <v>40</v>
      </c>
      <c r="I14" s="74" t="s">
        <v>65</v>
      </c>
      <c r="J14" s="51" t="s">
        <v>66</v>
      </c>
      <c r="K14" s="75" t="s">
        <v>97</v>
      </c>
      <c r="L14" s="52"/>
      <c r="M14" s="68" t="s">
        <v>31</v>
      </c>
    </row>
    <row r="15" ht="22.5" customHeight="1">
      <c r="A15" s="65">
        <v>46043.0</v>
      </c>
      <c r="B15" s="45" t="s">
        <v>10</v>
      </c>
      <c r="C15" s="46" t="s">
        <v>91</v>
      </c>
      <c r="D15" s="82" t="s">
        <v>98</v>
      </c>
      <c r="E15" s="60" t="s">
        <v>99</v>
      </c>
      <c r="F15" s="61">
        <v>1000.0</v>
      </c>
      <c r="G15" s="61">
        <v>0.0</v>
      </c>
      <c r="H15" s="62">
        <f t="shared" si="1"/>
        <v>1000</v>
      </c>
      <c r="I15" s="81" t="s">
        <v>100</v>
      </c>
      <c r="J15" s="51" t="s">
        <v>101</v>
      </c>
      <c r="K15" s="83"/>
      <c r="L15" s="52"/>
      <c r="M15" s="68" t="s">
        <v>31</v>
      </c>
    </row>
    <row r="16" ht="22.5" customHeight="1">
      <c r="A16" s="84">
        <v>46051.0</v>
      </c>
      <c r="B16" s="45" t="s">
        <v>7</v>
      </c>
      <c r="C16" s="66" t="s">
        <v>7</v>
      </c>
      <c r="D16" s="82" t="s">
        <v>102</v>
      </c>
      <c r="E16" s="82" t="s">
        <v>103</v>
      </c>
      <c r="F16" s="85">
        <v>203.0</v>
      </c>
      <c r="G16" s="85">
        <v>0.0</v>
      </c>
      <c r="H16" s="62">
        <f t="shared" si="1"/>
        <v>203</v>
      </c>
      <c r="I16" s="81" t="s">
        <v>57</v>
      </c>
      <c r="J16" s="51" t="s">
        <v>66</v>
      </c>
      <c r="K16" s="83"/>
      <c r="L16" s="52"/>
      <c r="M16" s="68" t="s">
        <v>31</v>
      </c>
    </row>
    <row r="17" ht="22.5" customHeight="1">
      <c r="A17" s="65">
        <v>46075.0</v>
      </c>
      <c r="B17" s="45" t="s">
        <v>18</v>
      </c>
      <c r="C17" s="86" t="s">
        <v>59</v>
      </c>
      <c r="D17" s="60" t="s">
        <v>104</v>
      </c>
      <c r="E17" s="60" t="s">
        <v>105</v>
      </c>
      <c r="F17" s="61">
        <v>29.99</v>
      </c>
      <c r="G17" s="61">
        <v>0.0</v>
      </c>
      <c r="H17" s="62">
        <f t="shared" si="1"/>
        <v>29.99</v>
      </c>
      <c r="I17" s="63" t="s">
        <v>57</v>
      </c>
      <c r="J17" s="51" t="s">
        <v>66</v>
      </c>
      <c r="K17" s="67" t="s">
        <v>106</v>
      </c>
      <c r="L17" s="52"/>
      <c r="M17" s="68" t="s">
        <v>15</v>
      </c>
    </row>
    <row r="18" ht="22.5" customHeight="1">
      <c r="A18" s="69">
        <v>46075.0</v>
      </c>
      <c r="B18" s="45" t="s">
        <v>18</v>
      </c>
      <c r="C18" s="87" t="s">
        <v>59</v>
      </c>
      <c r="D18" s="71" t="s">
        <v>104</v>
      </c>
      <c r="E18" s="71" t="s">
        <v>107</v>
      </c>
      <c r="F18" s="72">
        <v>24.99</v>
      </c>
      <c r="G18" s="72">
        <v>0.0</v>
      </c>
      <c r="H18" s="73">
        <f t="shared" si="1"/>
        <v>24.99</v>
      </c>
      <c r="I18" s="74" t="s">
        <v>57</v>
      </c>
      <c r="J18" s="51" t="s">
        <v>66</v>
      </c>
      <c r="K18" s="75" t="s">
        <v>108</v>
      </c>
      <c r="L18" s="52"/>
      <c r="M18" s="68" t="s">
        <v>15</v>
      </c>
    </row>
    <row r="19" ht="22.5" customHeight="1">
      <c r="A19" s="65">
        <v>46075.0</v>
      </c>
      <c r="B19" s="45" t="s">
        <v>16</v>
      </c>
      <c r="C19" s="86" t="s">
        <v>59</v>
      </c>
      <c r="D19" s="60" t="s">
        <v>104</v>
      </c>
      <c r="E19" s="60" t="s">
        <v>109</v>
      </c>
      <c r="F19" s="61">
        <v>54.98</v>
      </c>
      <c r="G19" s="61">
        <v>0.0</v>
      </c>
      <c r="H19" s="62">
        <f t="shared" si="1"/>
        <v>54.98</v>
      </c>
      <c r="I19" s="63" t="s">
        <v>57</v>
      </c>
      <c r="J19" s="51" t="s">
        <v>66</v>
      </c>
      <c r="K19" s="67" t="s">
        <v>110</v>
      </c>
      <c r="L19" s="52"/>
      <c r="M19" s="68" t="s">
        <v>15</v>
      </c>
    </row>
    <row r="20" ht="22.5" customHeight="1">
      <c r="A20" s="69">
        <v>46077.0</v>
      </c>
      <c r="B20" s="45" t="s">
        <v>20</v>
      </c>
      <c r="C20" s="87" t="s">
        <v>59</v>
      </c>
      <c r="D20" s="71" t="s">
        <v>104</v>
      </c>
      <c r="E20" s="71" t="s">
        <v>111</v>
      </c>
      <c r="F20" s="72">
        <v>29.99</v>
      </c>
      <c r="G20" s="72">
        <v>0.0</v>
      </c>
      <c r="H20" s="73">
        <f t="shared" si="1"/>
        <v>29.99</v>
      </c>
      <c r="I20" s="74" t="s">
        <v>57</v>
      </c>
      <c r="J20" s="51" t="s">
        <v>66</v>
      </c>
      <c r="K20" s="75" t="s">
        <v>112</v>
      </c>
      <c r="L20" s="52"/>
      <c r="M20" s="68" t="s">
        <v>15</v>
      </c>
    </row>
    <row r="21" ht="22.5" customHeight="1">
      <c r="A21" s="65">
        <v>46077.0</v>
      </c>
      <c r="B21" s="45" t="s">
        <v>20</v>
      </c>
      <c r="C21" s="86" t="s">
        <v>59</v>
      </c>
      <c r="D21" s="60" t="s">
        <v>104</v>
      </c>
      <c r="E21" s="60" t="s">
        <v>113</v>
      </c>
      <c r="F21" s="61">
        <v>8.98</v>
      </c>
      <c r="G21" s="61">
        <v>0.0</v>
      </c>
      <c r="H21" s="62">
        <f t="shared" si="1"/>
        <v>8.98</v>
      </c>
      <c r="I21" s="63" t="s">
        <v>57</v>
      </c>
      <c r="J21" s="51" t="s">
        <v>66</v>
      </c>
      <c r="K21" s="67" t="s">
        <v>114</v>
      </c>
      <c r="L21" s="52"/>
      <c r="M21" s="68" t="s">
        <v>15</v>
      </c>
    </row>
    <row r="22" ht="22.5" customHeight="1">
      <c r="A22" s="69">
        <v>46077.0</v>
      </c>
      <c r="B22" s="45" t="s">
        <v>20</v>
      </c>
      <c r="C22" s="87" t="s">
        <v>59</v>
      </c>
      <c r="D22" s="71" t="s">
        <v>104</v>
      </c>
      <c r="E22" s="71" t="s">
        <v>115</v>
      </c>
      <c r="F22" s="72">
        <v>17.76</v>
      </c>
      <c r="G22" s="72">
        <v>0.0</v>
      </c>
      <c r="H22" s="73">
        <f t="shared" si="1"/>
        <v>17.76</v>
      </c>
      <c r="I22" s="74" t="s">
        <v>57</v>
      </c>
      <c r="J22" s="51" t="s">
        <v>66</v>
      </c>
      <c r="K22" s="75" t="s">
        <v>116</v>
      </c>
      <c r="L22" s="52"/>
      <c r="M22" s="68" t="s">
        <v>15</v>
      </c>
    </row>
    <row r="23" ht="22.5" customHeight="1">
      <c r="A23" s="65">
        <v>46077.0</v>
      </c>
      <c r="B23" s="45" t="s">
        <v>20</v>
      </c>
      <c r="C23" s="86" t="s">
        <v>59</v>
      </c>
      <c r="D23" s="60" t="s">
        <v>117</v>
      </c>
      <c r="E23" s="82" t="s">
        <v>118</v>
      </c>
      <c r="F23" s="61">
        <v>150.0</v>
      </c>
      <c r="G23" s="61">
        <v>0.0</v>
      </c>
      <c r="H23" s="62">
        <f t="shared" si="1"/>
        <v>150</v>
      </c>
      <c r="I23" s="63" t="s">
        <v>57</v>
      </c>
      <c r="J23" s="51" t="s">
        <v>66</v>
      </c>
      <c r="K23" s="67" t="s">
        <v>119</v>
      </c>
      <c r="L23" s="52"/>
      <c r="M23" s="68" t="s">
        <v>15</v>
      </c>
    </row>
    <row r="24" ht="22.5" customHeight="1">
      <c r="A24" s="69">
        <v>46078.0</v>
      </c>
      <c r="B24" s="45" t="s">
        <v>18</v>
      </c>
      <c r="C24" s="87" t="s">
        <v>59</v>
      </c>
      <c r="D24" s="71" t="s">
        <v>120</v>
      </c>
      <c r="E24" s="71" t="s">
        <v>121</v>
      </c>
      <c r="F24" s="72">
        <v>92.8</v>
      </c>
      <c r="G24" s="72">
        <v>0.0</v>
      </c>
      <c r="H24" s="73">
        <f t="shared" si="1"/>
        <v>92.8</v>
      </c>
      <c r="I24" s="74" t="s">
        <v>57</v>
      </c>
      <c r="J24" s="51" t="s">
        <v>66</v>
      </c>
      <c r="K24" s="75" t="s">
        <v>122</v>
      </c>
      <c r="L24" s="52"/>
      <c r="M24" s="68" t="s">
        <v>15</v>
      </c>
    </row>
    <row r="25" ht="22.5" customHeight="1">
      <c r="A25" s="65">
        <v>46079.0</v>
      </c>
      <c r="B25" s="45" t="s">
        <v>20</v>
      </c>
      <c r="C25" s="86" t="s">
        <v>59</v>
      </c>
      <c r="D25" s="60" t="s">
        <v>104</v>
      </c>
      <c r="E25" s="60" t="s">
        <v>123</v>
      </c>
      <c r="F25" s="61">
        <v>9.99</v>
      </c>
      <c r="G25" s="61">
        <v>0.0</v>
      </c>
      <c r="H25" s="62">
        <f t="shared" si="1"/>
        <v>9.99</v>
      </c>
      <c r="I25" s="63" t="s">
        <v>57</v>
      </c>
      <c r="J25" s="51" t="s">
        <v>66</v>
      </c>
      <c r="K25" s="67" t="s">
        <v>124</v>
      </c>
      <c r="L25" s="52"/>
      <c r="M25" s="68" t="s">
        <v>15</v>
      </c>
    </row>
    <row r="26" ht="22.5" customHeight="1">
      <c r="A26" s="69">
        <v>46081.0</v>
      </c>
      <c r="B26" s="45" t="s">
        <v>16</v>
      </c>
      <c r="C26" s="87" t="s">
        <v>59</v>
      </c>
      <c r="D26" s="71" t="s">
        <v>125</v>
      </c>
      <c r="E26" s="71" t="s">
        <v>126</v>
      </c>
      <c r="F26" s="72">
        <f t="shared" ref="F26:F27" si="2">90.3/2</f>
        <v>45.15</v>
      </c>
      <c r="G26" s="72">
        <v>0.0</v>
      </c>
      <c r="H26" s="73">
        <f t="shared" si="1"/>
        <v>45.15</v>
      </c>
      <c r="I26" s="74" t="s">
        <v>57</v>
      </c>
      <c r="J26" s="51" t="s">
        <v>66</v>
      </c>
      <c r="K26" s="75" t="s">
        <v>127</v>
      </c>
      <c r="L26" s="52"/>
      <c r="M26" s="68" t="s">
        <v>15</v>
      </c>
    </row>
    <row r="27" ht="22.5" customHeight="1">
      <c r="A27" s="69">
        <v>46081.0</v>
      </c>
      <c r="B27" s="45" t="s">
        <v>20</v>
      </c>
      <c r="C27" s="87" t="s">
        <v>59</v>
      </c>
      <c r="D27" s="71" t="s">
        <v>125</v>
      </c>
      <c r="E27" s="71" t="s">
        <v>126</v>
      </c>
      <c r="F27" s="72">
        <f t="shared" si="2"/>
        <v>45.15</v>
      </c>
      <c r="G27" s="88">
        <v>0.0</v>
      </c>
      <c r="H27" s="89">
        <f t="shared" si="1"/>
        <v>45.15</v>
      </c>
      <c r="I27" s="74" t="s">
        <v>57</v>
      </c>
      <c r="J27" s="51" t="s">
        <v>66</v>
      </c>
      <c r="K27" s="75" t="s">
        <v>127</v>
      </c>
      <c r="L27" s="52"/>
      <c r="M27" s="68" t="s">
        <v>15</v>
      </c>
    </row>
    <row r="28" ht="22.5" customHeight="1">
      <c r="A28" s="65">
        <v>46081.0</v>
      </c>
      <c r="B28" s="45" t="s">
        <v>20</v>
      </c>
      <c r="C28" s="86" t="s">
        <v>59</v>
      </c>
      <c r="D28" s="60" t="s">
        <v>128</v>
      </c>
      <c r="E28" s="60" t="s">
        <v>129</v>
      </c>
      <c r="F28" s="61">
        <v>112.42</v>
      </c>
      <c r="G28" s="61">
        <v>0.0</v>
      </c>
      <c r="H28" s="62">
        <f t="shared" si="1"/>
        <v>112.42</v>
      </c>
      <c r="I28" s="63" t="s">
        <v>130</v>
      </c>
      <c r="J28" s="51" t="s">
        <v>66</v>
      </c>
      <c r="K28" s="67" t="s">
        <v>131</v>
      </c>
      <c r="L28" s="52"/>
      <c r="M28" s="68" t="s">
        <v>15</v>
      </c>
    </row>
    <row r="29" ht="22.5" customHeight="1">
      <c r="A29" s="69">
        <v>46081.0</v>
      </c>
      <c r="B29" s="45" t="s">
        <v>20</v>
      </c>
      <c r="C29" s="90" t="s">
        <v>54</v>
      </c>
      <c r="D29" s="71" t="s">
        <v>55</v>
      </c>
      <c r="E29" s="71" t="s">
        <v>132</v>
      </c>
      <c r="F29" s="72">
        <v>50.0</v>
      </c>
      <c r="G29" s="72">
        <v>0.0</v>
      </c>
      <c r="H29" s="73">
        <f t="shared" si="1"/>
        <v>50</v>
      </c>
      <c r="I29" s="74" t="s">
        <v>57</v>
      </c>
      <c r="J29" s="51" t="s">
        <v>66</v>
      </c>
      <c r="K29" s="75" t="s">
        <v>133</v>
      </c>
      <c r="L29" s="52"/>
      <c r="M29" s="68" t="s">
        <v>15</v>
      </c>
    </row>
    <row r="30" ht="22.5" customHeight="1">
      <c r="A30" s="65">
        <v>46088.0</v>
      </c>
      <c r="B30" s="45" t="s">
        <v>18</v>
      </c>
      <c r="C30" s="91" t="s">
        <v>54</v>
      </c>
      <c r="D30" s="60" t="s">
        <v>134</v>
      </c>
      <c r="E30" s="60" t="s">
        <v>135</v>
      </c>
      <c r="F30" s="61">
        <v>260.0</v>
      </c>
      <c r="G30" s="61">
        <v>0.0</v>
      </c>
      <c r="H30" s="62">
        <f t="shared" si="1"/>
        <v>260</v>
      </c>
      <c r="I30" s="63" t="s">
        <v>57</v>
      </c>
      <c r="J30" s="51" t="s">
        <v>66</v>
      </c>
      <c r="K30" s="67" t="s">
        <v>136</v>
      </c>
      <c r="L30" s="52"/>
      <c r="M30" s="68" t="s">
        <v>15</v>
      </c>
    </row>
    <row r="31" ht="22.5" customHeight="1">
      <c r="A31" s="69">
        <v>46088.0</v>
      </c>
      <c r="B31" s="45" t="s">
        <v>18</v>
      </c>
      <c r="C31" s="87" t="s">
        <v>59</v>
      </c>
      <c r="D31" s="71" t="s">
        <v>125</v>
      </c>
      <c r="E31" s="71" t="s">
        <v>126</v>
      </c>
      <c r="F31" s="72">
        <v>75.13</v>
      </c>
      <c r="G31" s="72">
        <v>0.0</v>
      </c>
      <c r="H31" s="73">
        <f t="shared" si="1"/>
        <v>75.13</v>
      </c>
      <c r="I31" s="74" t="s">
        <v>57</v>
      </c>
      <c r="J31" s="51" t="s">
        <v>66</v>
      </c>
      <c r="K31" s="75" t="s">
        <v>137</v>
      </c>
      <c r="L31" s="52"/>
      <c r="M31" s="68" t="s">
        <v>15</v>
      </c>
    </row>
    <row r="32" ht="22.5" customHeight="1">
      <c r="A32" s="92">
        <v>46092.0</v>
      </c>
      <c r="B32" s="45" t="s">
        <v>21</v>
      </c>
      <c r="C32" s="86" t="s">
        <v>59</v>
      </c>
      <c r="D32" s="63" t="s">
        <v>104</v>
      </c>
      <c r="E32" s="63" t="s">
        <v>138</v>
      </c>
      <c r="F32" s="61">
        <v>15.98</v>
      </c>
      <c r="G32" s="61">
        <v>0.0</v>
      </c>
      <c r="H32" s="62">
        <f t="shared" si="1"/>
        <v>15.98</v>
      </c>
      <c r="I32" s="63" t="s">
        <v>57</v>
      </c>
      <c r="J32" s="51" t="s">
        <v>66</v>
      </c>
      <c r="K32" s="67" t="s">
        <v>139</v>
      </c>
      <c r="L32" s="52"/>
      <c r="M32" s="68" t="s">
        <v>15</v>
      </c>
    </row>
    <row r="33" ht="22.5" customHeight="1">
      <c r="A33" s="65">
        <v>46093.0</v>
      </c>
      <c r="B33" s="45" t="s">
        <v>18</v>
      </c>
      <c r="C33" s="86" t="s">
        <v>59</v>
      </c>
      <c r="D33" s="60" t="s">
        <v>140</v>
      </c>
      <c r="E33" s="60" t="s">
        <v>141</v>
      </c>
      <c r="F33" s="61">
        <v>7.5</v>
      </c>
      <c r="G33" s="61">
        <v>0.0</v>
      </c>
      <c r="H33" s="62">
        <f t="shared" si="1"/>
        <v>7.5</v>
      </c>
      <c r="I33" s="63" t="s">
        <v>57</v>
      </c>
      <c r="J33" s="51" t="s">
        <v>66</v>
      </c>
      <c r="K33" s="67" t="s">
        <v>142</v>
      </c>
      <c r="L33" s="52"/>
      <c r="M33" s="68" t="s">
        <v>15</v>
      </c>
    </row>
    <row r="34" ht="22.5" customHeight="1">
      <c r="A34" s="65">
        <v>46094.0</v>
      </c>
      <c r="B34" s="45" t="s">
        <v>21</v>
      </c>
      <c r="C34" s="86" t="s">
        <v>59</v>
      </c>
      <c r="D34" s="63" t="s">
        <v>104</v>
      </c>
      <c r="E34" s="63" t="s">
        <v>143</v>
      </c>
      <c r="F34" s="61">
        <v>27.98</v>
      </c>
      <c r="G34" s="61">
        <v>0.0</v>
      </c>
      <c r="H34" s="62">
        <f t="shared" si="1"/>
        <v>27.98</v>
      </c>
      <c r="I34" s="63" t="s">
        <v>57</v>
      </c>
      <c r="J34" s="51" t="s">
        <v>66</v>
      </c>
      <c r="K34" s="67" t="s">
        <v>144</v>
      </c>
      <c r="L34" s="52"/>
      <c r="M34" s="68" t="s">
        <v>15</v>
      </c>
    </row>
    <row r="35" ht="22.5" customHeight="1">
      <c r="A35" s="93">
        <v>46095.0</v>
      </c>
      <c r="B35" s="94" t="s">
        <v>21</v>
      </c>
      <c r="C35" s="95" t="s">
        <v>59</v>
      </c>
      <c r="D35" s="96" t="s">
        <v>55</v>
      </c>
      <c r="E35" s="97" t="s">
        <v>145</v>
      </c>
      <c r="F35" s="98">
        <v>127.74</v>
      </c>
      <c r="G35" s="98">
        <v>0.0</v>
      </c>
      <c r="H35" s="56">
        <f t="shared" si="1"/>
        <v>127.74</v>
      </c>
      <c r="I35" s="99" t="s">
        <v>94</v>
      </c>
      <c r="J35" s="100" t="s">
        <v>66</v>
      </c>
      <c r="K35" s="99"/>
      <c r="L35" s="52" t="s">
        <v>90</v>
      </c>
      <c r="M35" s="45" t="s">
        <v>15</v>
      </c>
    </row>
    <row r="36" ht="22.5" customHeight="1">
      <c r="A36" s="101">
        <v>46095.0</v>
      </c>
      <c r="B36" s="94" t="s">
        <v>21</v>
      </c>
      <c r="C36" s="102" t="s">
        <v>59</v>
      </c>
      <c r="D36" s="103"/>
      <c r="E36" s="103" t="s">
        <v>146</v>
      </c>
      <c r="F36" s="104">
        <v>75.0</v>
      </c>
      <c r="G36" s="104">
        <v>0.0</v>
      </c>
      <c r="H36" s="62">
        <f t="shared" si="1"/>
        <v>75</v>
      </c>
      <c r="I36" s="105" t="s">
        <v>94</v>
      </c>
      <c r="J36" s="106" t="s">
        <v>66</v>
      </c>
      <c r="K36" s="105"/>
      <c r="L36" s="52" t="s">
        <v>90</v>
      </c>
      <c r="M36" s="45" t="s">
        <v>15</v>
      </c>
    </row>
    <row r="37" ht="22.5" customHeight="1">
      <c r="A37" s="93">
        <v>46095.0</v>
      </c>
      <c r="B37" s="94" t="s">
        <v>21</v>
      </c>
      <c r="C37" s="95" t="s">
        <v>59</v>
      </c>
      <c r="D37" s="97" t="s">
        <v>147</v>
      </c>
      <c r="E37" s="97" t="s">
        <v>148</v>
      </c>
      <c r="F37" s="98">
        <v>825.0</v>
      </c>
      <c r="G37" s="98">
        <v>0.0</v>
      </c>
      <c r="H37" s="56">
        <f t="shared" si="1"/>
        <v>825</v>
      </c>
      <c r="I37" s="99" t="s">
        <v>94</v>
      </c>
      <c r="J37" s="100" t="s">
        <v>66</v>
      </c>
      <c r="K37" s="99"/>
      <c r="L37" s="52" t="s">
        <v>90</v>
      </c>
      <c r="M37" s="45" t="s">
        <v>15</v>
      </c>
    </row>
    <row r="38" ht="22.5" customHeight="1">
      <c r="A38" s="107">
        <v>46104.0</v>
      </c>
      <c r="B38" s="45" t="s">
        <v>22</v>
      </c>
      <c r="C38" s="108" t="s">
        <v>59</v>
      </c>
      <c r="D38" s="50" t="s">
        <v>104</v>
      </c>
      <c r="E38" s="50" t="s">
        <v>149</v>
      </c>
      <c r="F38" s="48">
        <v>94.55</v>
      </c>
      <c r="G38" s="48">
        <v>0.0</v>
      </c>
      <c r="H38" s="49">
        <f t="shared" si="1"/>
        <v>94.55</v>
      </c>
      <c r="I38" s="50" t="s">
        <v>57</v>
      </c>
      <c r="J38" s="51" t="s">
        <v>66</v>
      </c>
      <c r="K38" s="109" t="s">
        <v>150</v>
      </c>
      <c r="L38" s="52"/>
      <c r="M38" s="68" t="s">
        <v>15</v>
      </c>
    </row>
    <row r="39" ht="22.5" customHeight="1">
      <c r="A39" s="110">
        <v>46104.0</v>
      </c>
      <c r="B39" s="45" t="s">
        <v>22</v>
      </c>
      <c r="C39" s="111" t="s">
        <v>59</v>
      </c>
      <c r="D39" s="57" t="s">
        <v>104</v>
      </c>
      <c r="E39" s="57" t="s">
        <v>151</v>
      </c>
      <c r="F39" s="55">
        <v>16.99</v>
      </c>
      <c r="G39" s="55">
        <v>0.0</v>
      </c>
      <c r="H39" s="56">
        <f t="shared" si="1"/>
        <v>16.99</v>
      </c>
      <c r="I39" s="57" t="s">
        <v>57</v>
      </c>
      <c r="J39" s="51" t="s">
        <v>66</v>
      </c>
      <c r="K39" s="112" t="s">
        <v>152</v>
      </c>
      <c r="L39" s="52"/>
      <c r="M39" s="68" t="s">
        <v>15</v>
      </c>
    </row>
    <row r="40" ht="22.5" customHeight="1">
      <c r="A40" s="107">
        <v>46104.0</v>
      </c>
      <c r="B40" s="45" t="s">
        <v>22</v>
      </c>
      <c r="C40" s="108" t="s">
        <v>59</v>
      </c>
      <c r="D40" s="50" t="s">
        <v>104</v>
      </c>
      <c r="E40" s="50" t="s">
        <v>153</v>
      </c>
      <c r="F40" s="48">
        <v>9.99</v>
      </c>
      <c r="G40" s="48">
        <v>0.0</v>
      </c>
      <c r="H40" s="49">
        <f t="shared" si="1"/>
        <v>9.99</v>
      </c>
      <c r="I40" s="50" t="s">
        <v>57</v>
      </c>
      <c r="J40" s="51" t="s">
        <v>66</v>
      </c>
      <c r="K40" s="109" t="s">
        <v>154</v>
      </c>
      <c r="L40" s="52"/>
      <c r="M40" s="68" t="s">
        <v>15</v>
      </c>
    </row>
    <row r="41" ht="22.5" customHeight="1">
      <c r="A41" s="110">
        <v>46105.0</v>
      </c>
      <c r="B41" s="45" t="s">
        <v>22</v>
      </c>
      <c r="C41" s="111" t="s">
        <v>59</v>
      </c>
      <c r="D41" s="57" t="s">
        <v>104</v>
      </c>
      <c r="E41" s="57" t="s">
        <v>155</v>
      </c>
      <c r="F41" s="55">
        <v>33.98</v>
      </c>
      <c r="G41" s="55">
        <v>0.0</v>
      </c>
      <c r="H41" s="56">
        <f t="shared" si="1"/>
        <v>33.98</v>
      </c>
      <c r="I41" s="57" t="s">
        <v>57</v>
      </c>
      <c r="J41" s="51" t="s">
        <v>66</v>
      </c>
      <c r="K41" s="112" t="s">
        <v>156</v>
      </c>
      <c r="L41" s="52"/>
      <c r="M41" s="68" t="s">
        <v>15</v>
      </c>
    </row>
    <row r="42" ht="22.5" customHeight="1">
      <c r="A42" s="107">
        <v>46106.0</v>
      </c>
      <c r="B42" s="45" t="s">
        <v>22</v>
      </c>
      <c r="C42" s="113" t="s">
        <v>54</v>
      </c>
      <c r="D42" s="50" t="s">
        <v>73</v>
      </c>
      <c r="E42" s="50" t="s">
        <v>157</v>
      </c>
      <c r="F42" s="48">
        <v>200.0</v>
      </c>
      <c r="G42" s="48">
        <v>0.0</v>
      </c>
      <c r="H42" s="49">
        <f t="shared" si="1"/>
        <v>200</v>
      </c>
      <c r="I42" s="50" t="s">
        <v>57</v>
      </c>
      <c r="J42" s="51" t="s">
        <v>66</v>
      </c>
      <c r="K42" s="109" t="s">
        <v>158</v>
      </c>
      <c r="L42" s="52"/>
      <c r="M42" s="68" t="s">
        <v>15</v>
      </c>
    </row>
    <row r="43" ht="22.5" customHeight="1">
      <c r="A43" s="114">
        <v>46108.0</v>
      </c>
      <c r="B43" s="45" t="s">
        <v>22</v>
      </c>
      <c r="C43" s="115" t="s">
        <v>54</v>
      </c>
      <c r="D43" s="59" t="s">
        <v>134</v>
      </c>
      <c r="E43" s="59" t="s">
        <v>159</v>
      </c>
      <c r="F43" s="116">
        <v>445.0</v>
      </c>
      <c r="G43" s="116">
        <v>0.0</v>
      </c>
      <c r="H43" s="62">
        <f t="shared" si="1"/>
        <v>445</v>
      </c>
      <c r="I43" s="63" t="s">
        <v>57</v>
      </c>
      <c r="J43" s="51" t="s">
        <v>66</v>
      </c>
      <c r="K43" s="117" t="s">
        <v>160</v>
      </c>
      <c r="L43" s="52"/>
      <c r="M43" s="68" t="s">
        <v>15</v>
      </c>
    </row>
    <row r="44" ht="22.5" customHeight="1">
      <c r="A44" s="118">
        <v>46109.0</v>
      </c>
      <c r="B44" s="45" t="s">
        <v>22</v>
      </c>
      <c r="C44" s="119" t="s">
        <v>76</v>
      </c>
      <c r="D44" s="120" t="s">
        <v>161</v>
      </c>
      <c r="E44" s="120" t="s">
        <v>162</v>
      </c>
      <c r="F44" s="121">
        <v>150.0</v>
      </c>
      <c r="G44" s="121">
        <v>0.0</v>
      </c>
      <c r="H44" s="49">
        <f t="shared" si="1"/>
        <v>150</v>
      </c>
      <c r="I44" s="120" t="s">
        <v>57</v>
      </c>
      <c r="J44" s="51" t="s">
        <v>66</v>
      </c>
      <c r="K44" s="122" t="s">
        <v>163</v>
      </c>
      <c r="L44" s="52"/>
      <c r="M44" s="68" t="s">
        <v>15</v>
      </c>
    </row>
    <row r="45" ht="22.5" customHeight="1">
      <c r="A45" s="114">
        <v>46109.0</v>
      </c>
      <c r="B45" s="45" t="s">
        <v>22</v>
      </c>
      <c r="C45" s="115" t="s">
        <v>54</v>
      </c>
      <c r="D45" s="59" t="s">
        <v>164</v>
      </c>
      <c r="E45" s="59" t="s">
        <v>165</v>
      </c>
      <c r="F45" s="116">
        <v>124.5</v>
      </c>
      <c r="G45" s="116">
        <v>0.0</v>
      </c>
      <c r="H45" s="62">
        <f t="shared" si="1"/>
        <v>124.5</v>
      </c>
      <c r="I45" s="59" t="s">
        <v>79</v>
      </c>
      <c r="J45" s="58" t="s">
        <v>66</v>
      </c>
      <c r="K45" s="117" t="s">
        <v>166</v>
      </c>
      <c r="L45" s="52"/>
      <c r="M45" s="68" t="s">
        <v>15</v>
      </c>
    </row>
    <row r="46" ht="22.5" customHeight="1">
      <c r="A46" s="44">
        <v>46109.0</v>
      </c>
      <c r="B46" s="45" t="s">
        <v>22</v>
      </c>
      <c r="C46" s="46" t="s">
        <v>54</v>
      </c>
      <c r="D46" s="94" t="s">
        <v>167</v>
      </c>
      <c r="E46" s="94" t="s">
        <v>168</v>
      </c>
      <c r="F46" s="123">
        <v>17.38</v>
      </c>
      <c r="G46" s="123">
        <v>0.0</v>
      </c>
      <c r="H46" s="62">
        <f t="shared" si="1"/>
        <v>17.38</v>
      </c>
      <c r="I46" s="124" t="s">
        <v>57</v>
      </c>
      <c r="J46" s="51" t="s">
        <v>66</v>
      </c>
      <c r="K46" s="125" t="s">
        <v>169</v>
      </c>
      <c r="L46" s="52"/>
      <c r="M46" s="68" t="s">
        <v>15</v>
      </c>
    </row>
    <row r="47" ht="22.5" customHeight="1">
      <c r="A47" s="44">
        <v>46111.0</v>
      </c>
      <c r="B47" s="45" t="s">
        <v>10</v>
      </c>
      <c r="C47" s="46" t="s">
        <v>91</v>
      </c>
      <c r="D47" s="94" t="s">
        <v>170</v>
      </c>
      <c r="E47" s="94" t="s">
        <v>99</v>
      </c>
      <c r="F47" s="123">
        <v>750.0</v>
      </c>
      <c r="G47" s="123">
        <v>0.0</v>
      </c>
      <c r="H47" s="62">
        <f t="shared" si="1"/>
        <v>750</v>
      </c>
      <c r="I47" s="52" t="s">
        <v>100</v>
      </c>
      <c r="J47" s="51" t="s">
        <v>101</v>
      </c>
      <c r="K47" s="52"/>
      <c r="L47" s="52"/>
      <c r="M47" s="45" t="s">
        <v>32</v>
      </c>
    </row>
    <row r="48" ht="22.5" customHeight="1">
      <c r="A48" s="44">
        <v>46127.0</v>
      </c>
      <c r="B48" s="45" t="s">
        <v>11</v>
      </c>
      <c r="C48" s="46" t="s">
        <v>171</v>
      </c>
      <c r="D48" s="94" t="s">
        <v>172</v>
      </c>
      <c r="E48" s="94" t="s">
        <v>173</v>
      </c>
      <c r="F48" s="123">
        <v>-910.0</v>
      </c>
      <c r="G48" s="123">
        <v>0.0</v>
      </c>
      <c r="H48" s="62">
        <f t="shared" si="1"/>
        <v>-910</v>
      </c>
      <c r="I48" s="52" t="s">
        <v>174</v>
      </c>
      <c r="J48" s="126"/>
      <c r="K48" s="52"/>
      <c r="L48" s="52"/>
      <c r="M48" s="45" t="s">
        <v>32</v>
      </c>
    </row>
    <row r="49" ht="22.5" customHeight="1">
      <c r="A49" s="44">
        <v>46143.0</v>
      </c>
      <c r="B49" s="45" t="s">
        <v>10</v>
      </c>
      <c r="C49" s="46" t="s">
        <v>91</v>
      </c>
      <c r="D49" s="94" t="s">
        <v>175</v>
      </c>
      <c r="E49" s="94" t="s">
        <v>99</v>
      </c>
      <c r="F49" s="123">
        <v>500.0</v>
      </c>
      <c r="G49" s="123">
        <v>500.0</v>
      </c>
      <c r="H49" s="62">
        <f t="shared" si="1"/>
        <v>0</v>
      </c>
      <c r="I49" s="52" t="s">
        <v>100</v>
      </c>
      <c r="J49" s="51" t="s">
        <v>101</v>
      </c>
      <c r="K49" s="52"/>
      <c r="L49" s="52" t="s">
        <v>176</v>
      </c>
      <c r="M49" s="45" t="s">
        <v>33</v>
      </c>
    </row>
    <row r="50" ht="22.5" customHeight="1">
      <c r="A50" s="44">
        <v>46178.0</v>
      </c>
      <c r="B50" s="45" t="s">
        <v>10</v>
      </c>
      <c r="C50" s="46" t="s">
        <v>91</v>
      </c>
      <c r="D50" s="94" t="s">
        <v>98</v>
      </c>
      <c r="E50" s="94" t="s">
        <v>99</v>
      </c>
      <c r="F50" s="123">
        <v>1250.0</v>
      </c>
      <c r="G50" s="123">
        <v>500.0</v>
      </c>
      <c r="H50" s="62">
        <f t="shared" si="1"/>
        <v>750</v>
      </c>
      <c r="I50" s="52" t="s">
        <v>100</v>
      </c>
      <c r="J50" s="51" t="s">
        <v>101</v>
      </c>
      <c r="K50" s="52"/>
      <c r="L50" s="52" t="s">
        <v>177</v>
      </c>
      <c r="M50" s="45" t="s">
        <v>33</v>
      </c>
    </row>
    <row r="51" ht="22.5" customHeight="1">
      <c r="A51" s="44">
        <v>46188.0</v>
      </c>
      <c r="B51" s="45" t="s">
        <v>11</v>
      </c>
      <c r="C51" s="46" t="s">
        <v>91</v>
      </c>
      <c r="D51" s="94" t="s">
        <v>178</v>
      </c>
      <c r="E51" s="94" t="s">
        <v>179</v>
      </c>
      <c r="F51" s="123">
        <v>840.0</v>
      </c>
      <c r="G51" s="123">
        <v>0.0</v>
      </c>
      <c r="H51" s="62">
        <f t="shared" si="1"/>
        <v>840</v>
      </c>
      <c r="I51" s="52" t="s">
        <v>94</v>
      </c>
      <c r="J51" s="51" t="s">
        <v>180</v>
      </c>
      <c r="K51" s="52"/>
      <c r="L51" s="52"/>
      <c r="M51" s="45" t="s">
        <v>32</v>
      </c>
    </row>
    <row r="52" ht="22.5" customHeight="1">
      <c r="A52" s="44">
        <v>46188.0</v>
      </c>
      <c r="B52" s="45" t="s">
        <v>11</v>
      </c>
      <c r="C52" s="46" t="s">
        <v>54</v>
      </c>
      <c r="D52" s="94" t="s">
        <v>172</v>
      </c>
      <c r="E52" s="94" t="s">
        <v>81</v>
      </c>
      <c r="F52" s="123">
        <v>30.0</v>
      </c>
      <c r="G52" s="123">
        <v>0.0</v>
      </c>
      <c r="H52" s="62">
        <f t="shared" si="1"/>
        <v>30</v>
      </c>
      <c r="I52" s="52" t="s">
        <v>94</v>
      </c>
      <c r="J52" s="51" t="s">
        <v>180</v>
      </c>
      <c r="K52" s="52"/>
      <c r="L52" s="52"/>
      <c r="M52" s="45" t="s">
        <v>32</v>
      </c>
    </row>
    <row r="53" ht="22.5" customHeight="1">
      <c r="A53" s="44"/>
      <c r="B53" s="127"/>
      <c r="C53" s="128"/>
      <c r="D53" s="94"/>
      <c r="E53" s="94"/>
      <c r="F53" s="123"/>
      <c r="G53" s="123"/>
      <c r="H53" s="62">
        <f t="shared" si="1"/>
        <v>0</v>
      </c>
      <c r="I53" s="52"/>
      <c r="J53" s="126"/>
      <c r="K53" s="52"/>
      <c r="L53" s="52"/>
      <c r="M53" s="129"/>
    </row>
    <row r="54" ht="22.5" customHeight="1">
      <c r="A54" s="44"/>
      <c r="B54" s="127"/>
      <c r="C54" s="128"/>
      <c r="D54" s="94"/>
      <c r="E54" s="94"/>
      <c r="F54" s="123"/>
      <c r="G54" s="123"/>
      <c r="H54" s="62">
        <f t="shared" si="1"/>
        <v>0</v>
      </c>
      <c r="I54" s="52"/>
      <c r="J54" s="126"/>
      <c r="K54" s="52"/>
      <c r="L54" s="52"/>
      <c r="M54" s="129"/>
    </row>
    <row r="55" ht="22.5" customHeight="1">
      <c r="A55" s="44"/>
      <c r="B55" s="127"/>
      <c r="C55" s="128"/>
      <c r="D55" s="94"/>
      <c r="E55" s="94"/>
      <c r="F55" s="123"/>
      <c r="G55" s="123"/>
      <c r="H55" s="62">
        <f t="shared" si="1"/>
        <v>0</v>
      </c>
      <c r="I55" s="52"/>
      <c r="J55" s="126"/>
      <c r="K55" s="52"/>
      <c r="L55" s="52"/>
      <c r="M55" s="129"/>
    </row>
    <row r="56" ht="22.5" customHeight="1">
      <c r="A56" s="44"/>
      <c r="B56" s="127"/>
      <c r="C56" s="128"/>
      <c r="D56" s="94"/>
      <c r="E56" s="94"/>
      <c r="F56" s="123"/>
      <c r="G56" s="123"/>
      <c r="H56" s="62">
        <f t="shared" si="1"/>
        <v>0</v>
      </c>
      <c r="I56" s="52"/>
      <c r="J56" s="126"/>
      <c r="K56" s="52"/>
      <c r="L56" s="52"/>
      <c r="M56" s="129"/>
    </row>
    <row r="57" ht="22.5" customHeight="1">
      <c r="A57" s="44"/>
      <c r="B57" s="127"/>
      <c r="C57" s="128"/>
      <c r="D57" s="94"/>
      <c r="E57" s="94"/>
      <c r="F57" s="123"/>
      <c r="G57" s="123"/>
      <c r="H57" s="62">
        <f t="shared" si="1"/>
        <v>0</v>
      </c>
      <c r="I57" s="52"/>
      <c r="J57" s="126"/>
      <c r="K57" s="52"/>
      <c r="L57" s="52"/>
      <c r="M57" s="129"/>
    </row>
    <row r="58" ht="22.5" customHeight="1">
      <c r="A58" s="44"/>
      <c r="B58" s="127"/>
      <c r="C58" s="128"/>
      <c r="D58" s="94"/>
      <c r="E58" s="94"/>
      <c r="F58" s="123"/>
      <c r="G58" s="123"/>
      <c r="H58" s="62">
        <f t="shared" si="1"/>
        <v>0</v>
      </c>
      <c r="I58" s="52"/>
      <c r="J58" s="126"/>
      <c r="K58" s="52"/>
      <c r="L58" s="52"/>
      <c r="M58" s="129"/>
    </row>
    <row r="59" ht="22.5" customHeight="1">
      <c r="A59" s="44"/>
      <c r="B59" s="127"/>
      <c r="C59" s="128"/>
      <c r="D59" s="94"/>
      <c r="E59" s="94"/>
      <c r="F59" s="123"/>
      <c r="G59" s="123"/>
      <c r="H59" s="62">
        <f t="shared" si="1"/>
        <v>0</v>
      </c>
      <c r="I59" s="52"/>
      <c r="J59" s="126"/>
      <c r="K59" s="52"/>
      <c r="L59" s="52"/>
      <c r="M59" s="129"/>
    </row>
    <row r="60" ht="22.5" customHeight="1">
      <c r="A60" s="44"/>
      <c r="B60" s="127"/>
      <c r="C60" s="128"/>
      <c r="D60" s="94"/>
      <c r="E60" s="94"/>
      <c r="F60" s="123"/>
      <c r="G60" s="123"/>
      <c r="H60" s="62">
        <f t="shared" si="1"/>
        <v>0</v>
      </c>
      <c r="I60" s="52"/>
      <c r="J60" s="126"/>
      <c r="K60" s="52"/>
      <c r="L60" s="52"/>
      <c r="M60" s="129"/>
    </row>
    <row r="61" ht="22.5" customHeight="1">
      <c r="A61" s="44"/>
      <c r="B61" s="127"/>
      <c r="C61" s="128"/>
      <c r="D61" s="94"/>
      <c r="E61" s="94"/>
      <c r="F61" s="123"/>
      <c r="G61" s="123"/>
      <c r="H61" s="62">
        <f t="shared" si="1"/>
        <v>0</v>
      </c>
      <c r="I61" s="52"/>
      <c r="J61" s="126"/>
      <c r="K61" s="52"/>
      <c r="L61" s="52"/>
      <c r="M61" s="129"/>
    </row>
    <row r="62" ht="22.5" customHeight="1">
      <c r="A62" s="44"/>
      <c r="B62" s="127"/>
      <c r="C62" s="128"/>
      <c r="D62" s="94"/>
      <c r="E62" s="94"/>
      <c r="F62" s="123"/>
      <c r="G62" s="123"/>
      <c r="H62" s="62">
        <f t="shared" si="1"/>
        <v>0</v>
      </c>
      <c r="I62" s="52"/>
      <c r="J62" s="126"/>
      <c r="K62" s="52"/>
      <c r="L62" s="52"/>
      <c r="M62" s="129"/>
    </row>
    <row r="63" ht="22.5" customHeight="1">
      <c r="A63" s="44"/>
      <c r="B63" s="127"/>
      <c r="C63" s="128"/>
      <c r="D63" s="94"/>
      <c r="E63" s="94"/>
      <c r="F63" s="123"/>
      <c r="G63" s="123"/>
      <c r="H63" s="62">
        <f t="shared" si="1"/>
        <v>0</v>
      </c>
      <c r="I63" s="52"/>
      <c r="J63" s="126"/>
      <c r="K63" s="52"/>
      <c r="L63" s="52"/>
      <c r="M63" s="129"/>
    </row>
    <row r="64" ht="22.5" customHeight="1">
      <c r="A64" s="44"/>
      <c r="B64" s="127"/>
      <c r="C64" s="128"/>
      <c r="D64" s="94"/>
      <c r="E64" s="94"/>
      <c r="F64" s="123"/>
      <c r="G64" s="123"/>
      <c r="H64" s="62">
        <f t="shared" si="1"/>
        <v>0</v>
      </c>
      <c r="I64" s="52"/>
      <c r="J64" s="126"/>
      <c r="K64" s="52"/>
      <c r="L64" s="52"/>
      <c r="M64" s="129"/>
    </row>
    <row r="65" ht="22.5" customHeight="1">
      <c r="A65" s="44"/>
      <c r="B65" s="127"/>
      <c r="C65" s="128"/>
      <c r="D65" s="94"/>
      <c r="E65" s="94"/>
      <c r="F65" s="123"/>
      <c r="G65" s="123"/>
      <c r="H65" s="62">
        <f t="shared" si="1"/>
        <v>0</v>
      </c>
      <c r="I65" s="52"/>
      <c r="J65" s="126"/>
      <c r="K65" s="52"/>
      <c r="L65" s="52"/>
      <c r="M65" s="129"/>
    </row>
    <row r="66" ht="22.5" customHeight="1">
      <c r="A66" s="44"/>
      <c r="B66" s="127"/>
      <c r="C66" s="128"/>
      <c r="D66" s="94"/>
      <c r="E66" s="94"/>
      <c r="F66" s="123"/>
      <c r="G66" s="123"/>
      <c r="H66" s="62">
        <f t="shared" si="1"/>
        <v>0</v>
      </c>
      <c r="I66" s="52"/>
      <c r="J66" s="126"/>
      <c r="K66" s="52"/>
      <c r="L66" s="52"/>
      <c r="M66" s="129"/>
    </row>
    <row r="67" ht="22.5" customHeight="1">
      <c r="A67" s="44"/>
      <c r="B67" s="127"/>
      <c r="C67" s="128"/>
      <c r="D67" s="94"/>
      <c r="E67" s="94"/>
      <c r="F67" s="123"/>
      <c r="G67" s="123"/>
      <c r="H67" s="62">
        <f t="shared" si="1"/>
        <v>0</v>
      </c>
      <c r="I67" s="52"/>
      <c r="J67" s="126"/>
      <c r="K67" s="52"/>
      <c r="L67" s="52"/>
      <c r="M67" s="129"/>
    </row>
    <row r="68" ht="22.5" customHeight="1">
      <c r="A68" s="44"/>
      <c r="B68" s="127"/>
      <c r="C68" s="128"/>
      <c r="D68" s="94"/>
      <c r="E68" s="94"/>
      <c r="F68" s="123"/>
      <c r="G68" s="123"/>
      <c r="H68" s="62">
        <f t="shared" si="1"/>
        <v>0</v>
      </c>
      <c r="I68" s="52"/>
      <c r="J68" s="126"/>
      <c r="K68" s="52"/>
      <c r="L68" s="52"/>
      <c r="M68" s="129"/>
    </row>
    <row r="69" ht="22.5" customHeight="1">
      <c r="A69" s="44"/>
      <c r="B69" s="127"/>
      <c r="C69" s="128"/>
      <c r="D69" s="94"/>
      <c r="E69" s="94"/>
      <c r="F69" s="123"/>
      <c r="G69" s="123"/>
      <c r="H69" s="62">
        <f t="shared" si="1"/>
        <v>0</v>
      </c>
      <c r="I69" s="52"/>
      <c r="J69" s="126"/>
      <c r="K69" s="52"/>
      <c r="L69" s="52"/>
      <c r="M69" s="129"/>
    </row>
    <row r="70" ht="22.5" customHeight="1">
      <c r="A70" s="44"/>
      <c r="B70" s="127"/>
      <c r="C70" s="128"/>
      <c r="D70" s="94"/>
      <c r="E70" s="94"/>
      <c r="F70" s="123"/>
      <c r="G70" s="123"/>
      <c r="H70" s="62">
        <f t="shared" si="1"/>
        <v>0</v>
      </c>
      <c r="I70" s="52"/>
      <c r="J70" s="126"/>
      <c r="K70" s="52"/>
      <c r="L70" s="52"/>
      <c r="M70" s="129"/>
    </row>
    <row r="71" ht="22.5" customHeight="1">
      <c r="A71" s="44"/>
      <c r="B71" s="127"/>
      <c r="C71" s="128"/>
      <c r="D71" s="94"/>
      <c r="E71" s="94"/>
      <c r="F71" s="123"/>
      <c r="G71" s="123"/>
      <c r="H71" s="62">
        <f t="shared" si="1"/>
        <v>0</v>
      </c>
      <c r="I71" s="52"/>
      <c r="J71" s="126"/>
      <c r="K71" s="52"/>
      <c r="L71" s="52"/>
      <c r="M71" s="129"/>
    </row>
    <row r="72" ht="22.5" customHeight="1">
      <c r="A72" s="44"/>
      <c r="B72" s="127"/>
      <c r="C72" s="128"/>
      <c r="D72" s="94"/>
      <c r="E72" s="94"/>
      <c r="F72" s="123"/>
      <c r="G72" s="123"/>
      <c r="H72" s="62">
        <f t="shared" si="1"/>
        <v>0</v>
      </c>
      <c r="I72" s="52"/>
      <c r="J72" s="126"/>
      <c r="K72" s="52"/>
      <c r="L72" s="52"/>
      <c r="M72" s="129"/>
    </row>
    <row r="73" ht="22.5" customHeight="1">
      <c r="A73" s="44"/>
      <c r="B73" s="127"/>
      <c r="C73" s="128"/>
      <c r="D73" s="94"/>
      <c r="E73" s="94"/>
      <c r="F73" s="123"/>
      <c r="G73" s="123"/>
      <c r="H73" s="62">
        <f t="shared" si="1"/>
        <v>0</v>
      </c>
      <c r="I73" s="52"/>
      <c r="J73" s="126"/>
      <c r="K73" s="52"/>
      <c r="L73" s="52"/>
      <c r="M73" s="129"/>
    </row>
    <row r="74" ht="22.5" customHeight="1">
      <c r="A74" s="44"/>
      <c r="B74" s="127"/>
      <c r="C74" s="128"/>
      <c r="D74" s="94"/>
      <c r="E74" s="94"/>
      <c r="F74" s="123"/>
      <c r="G74" s="123"/>
      <c r="H74" s="62">
        <f t="shared" si="1"/>
        <v>0</v>
      </c>
      <c r="I74" s="52"/>
      <c r="J74" s="126"/>
      <c r="K74" s="52"/>
      <c r="L74" s="52"/>
      <c r="M74" s="129"/>
    </row>
    <row r="75" ht="22.5" customHeight="1">
      <c r="A75" s="44"/>
      <c r="B75" s="127"/>
      <c r="C75" s="128"/>
      <c r="D75" s="94"/>
      <c r="E75" s="94"/>
      <c r="F75" s="123"/>
      <c r="G75" s="123"/>
      <c r="H75" s="62">
        <f t="shared" si="1"/>
        <v>0</v>
      </c>
      <c r="I75" s="52"/>
      <c r="J75" s="126"/>
      <c r="K75" s="52"/>
      <c r="L75" s="52"/>
      <c r="M75" s="129"/>
    </row>
    <row r="76" ht="22.5" customHeight="1">
      <c r="A76" s="44"/>
      <c r="B76" s="127"/>
      <c r="C76" s="128"/>
      <c r="D76" s="94"/>
      <c r="E76" s="94"/>
      <c r="F76" s="123"/>
      <c r="G76" s="123"/>
      <c r="H76" s="62">
        <f t="shared" si="1"/>
        <v>0</v>
      </c>
      <c r="I76" s="52"/>
      <c r="J76" s="126"/>
      <c r="K76" s="52"/>
      <c r="L76" s="52"/>
      <c r="M76" s="129"/>
    </row>
    <row r="77" ht="22.5" customHeight="1">
      <c r="A77" s="44"/>
      <c r="B77" s="127"/>
      <c r="C77" s="128"/>
      <c r="D77" s="94"/>
      <c r="E77" s="94"/>
      <c r="F77" s="123"/>
      <c r="G77" s="123"/>
      <c r="H77" s="62">
        <f t="shared" si="1"/>
        <v>0</v>
      </c>
      <c r="I77" s="52"/>
      <c r="J77" s="126"/>
      <c r="K77" s="52"/>
      <c r="L77" s="52"/>
      <c r="M77" s="129"/>
    </row>
    <row r="78" ht="22.5" customHeight="1">
      <c r="A78" s="44"/>
      <c r="B78" s="127"/>
      <c r="C78" s="128"/>
      <c r="D78" s="94"/>
      <c r="E78" s="94"/>
      <c r="F78" s="123"/>
      <c r="G78" s="123"/>
      <c r="H78" s="62">
        <f t="shared" si="1"/>
        <v>0</v>
      </c>
      <c r="I78" s="52"/>
      <c r="J78" s="126"/>
      <c r="K78" s="52"/>
      <c r="L78" s="52"/>
      <c r="M78" s="129"/>
    </row>
    <row r="79" ht="22.5" customHeight="1">
      <c r="A79" s="44"/>
      <c r="B79" s="127"/>
      <c r="C79" s="128"/>
      <c r="D79" s="94"/>
      <c r="E79" s="94"/>
      <c r="F79" s="123"/>
      <c r="G79" s="123"/>
      <c r="H79" s="62">
        <f t="shared" si="1"/>
        <v>0</v>
      </c>
      <c r="I79" s="52"/>
      <c r="J79" s="126"/>
      <c r="K79" s="52"/>
      <c r="L79" s="52"/>
      <c r="M79" s="129"/>
    </row>
    <row r="80" ht="22.5" customHeight="1">
      <c r="A80" s="44"/>
      <c r="B80" s="127"/>
      <c r="C80" s="128"/>
      <c r="D80" s="94"/>
      <c r="E80" s="94"/>
      <c r="F80" s="123"/>
      <c r="G80" s="123"/>
      <c r="H80" s="62">
        <f t="shared" si="1"/>
        <v>0</v>
      </c>
      <c r="I80" s="52"/>
      <c r="J80" s="126"/>
      <c r="K80" s="52"/>
      <c r="L80" s="52"/>
      <c r="M80" s="129"/>
    </row>
    <row r="81" ht="22.5" customHeight="1">
      <c r="A81" s="44"/>
      <c r="B81" s="127"/>
      <c r="C81" s="128"/>
      <c r="D81" s="94"/>
      <c r="E81" s="94"/>
      <c r="F81" s="123"/>
      <c r="G81" s="123"/>
      <c r="H81" s="62">
        <f t="shared" si="1"/>
        <v>0</v>
      </c>
      <c r="I81" s="52"/>
      <c r="J81" s="126"/>
      <c r="K81" s="52"/>
      <c r="L81" s="52"/>
      <c r="M81" s="129"/>
    </row>
    <row r="82" ht="22.5" customHeight="1">
      <c r="A82" s="130"/>
      <c r="B82" s="131"/>
      <c r="C82" s="131"/>
      <c r="D82" s="131"/>
      <c r="E82" s="131"/>
      <c r="F82" s="132">
        <f>SUM(Expenses[Sub-Total])</f>
        <v>8570.5</v>
      </c>
      <c r="G82" s="132">
        <f>SUM(Expenses[Adjustments])</f>
        <v>1333.6</v>
      </c>
      <c r="H82" s="133">
        <f>SUM(Expenses[Total])</f>
        <v>7236.9</v>
      </c>
      <c r="I82" s="132"/>
      <c r="J82" s="131"/>
      <c r="K82" s="130"/>
      <c r="L82" s="130"/>
      <c r="M82" s="131"/>
    </row>
  </sheetData>
  <dataValidations>
    <dataValidation type="custom" allowBlank="1" showDropDown="1" sqref="A2:A81">
      <formula1>OR(NOT(ISERROR(DATEVALUE(A2))), AND(ISNUMBER(A2), LEFT(CELL("format", A2))="D"))</formula1>
    </dataValidation>
    <dataValidation allowBlank="1" showDropDown="1" sqref="E2:E81"/>
    <dataValidation type="list" allowBlank="1" sqref="J2:J81">
      <formula1>"Pending,Paid,Donation,Direct"</formula1>
    </dataValidation>
    <dataValidation type="custom" allowBlank="1" showDropDown="1" sqref="F2:H81">
      <formula1>AND(ISNUMBER(F2),(NOT(OR(NOT(ISERROR(DATEVALUE(F2))), AND(ISNUMBER(F2), LEFT(CELL("format", F2))="D")))))</formula1>
    </dataValidation>
    <dataValidation type="list" allowBlank="1" sqref="C2:C81">
      <formula1>"Marketing,Food &amp; Drink,Venue,Supplies,Lodging,Transportation,Honorarium/Services,Tech,Income"</formula1>
    </dataValidation>
    <dataValidation allowBlank="1" showDropDown="1" sqref="D2:D81 I2:I81"/>
  </dataValidations>
  <hyperlinks>
    <hyperlink r:id="rId1" ref="K5"/>
    <hyperlink r:id="rId2" ref="K6"/>
    <hyperlink r:id="rId3" ref="K7"/>
    <hyperlink r:id="rId4" ref="K8"/>
    <hyperlink r:id="rId5" ref="K9"/>
    <hyperlink r:id="rId6" ref="K10"/>
    <hyperlink r:id="rId7" ref="K11"/>
    <hyperlink r:id="rId8" ref="K13"/>
    <hyperlink r:id="rId9" ref="K14"/>
    <hyperlink r:id="rId10" ref="K17"/>
    <hyperlink r:id="rId11" ref="K18"/>
    <hyperlink r:id="rId12" ref="K19"/>
    <hyperlink r:id="rId13" ref="K20"/>
    <hyperlink r:id="rId14" ref="K21"/>
    <hyperlink r:id="rId15" ref="K22"/>
    <hyperlink r:id="rId16" ref="K23"/>
    <hyperlink r:id="rId17" ref="K24"/>
    <hyperlink r:id="rId18" ref="K25"/>
    <hyperlink r:id="rId19" ref="K26"/>
    <hyperlink r:id="rId20" ref="K27"/>
    <hyperlink r:id="rId21" ref="K28"/>
    <hyperlink r:id="rId22" ref="K29"/>
    <hyperlink r:id="rId23" ref="K30"/>
    <hyperlink r:id="rId24" ref="K31"/>
    <hyperlink r:id="rId25" ref="K32"/>
    <hyperlink r:id="rId26" ref="K33"/>
    <hyperlink r:id="rId27" ref="K34"/>
    <hyperlink r:id="rId28" ref="K38"/>
    <hyperlink r:id="rId29" ref="K39"/>
    <hyperlink r:id="rId30" ref="K40"/>
    <hyperlink r:id="rId31" ref="K41"/>
    <hyperlink r:id="rId32" ref="K42"/>
    <hyperlink r:id="rId33" ref="K43"/>
    <hyperlink r:id="rId34" ref="K44"/>
    <hyperlink r:id="rId35" ref="K45"/>
    <hyperlink r:id="rId36" ref="K46"/>
  </hyperlinks>
  <drawing r:id="rId37"/>
  <tableParts count="1">
    <tablePart r:id="rId39"/>
  </tableParts>
</worksheet>
</file>